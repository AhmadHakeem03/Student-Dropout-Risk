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Labeling Rul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<sst xmlns="http://schemas.openxmlformats.org/spreadsheetml/2006/main" count="5384" uniqueCount="351">
  <si>
    <t xml:space="preserve">Id</t>
  </si>
  <si>
    <t xml:space="preserve">وقت البدء</t>
  </si>
  <si>
    <t xml:space="preserve">وقت الإكمال</t>
  </si>
  <si>
    <t xml:space="preserve">البريد الإلكتروني</t>
  </si>
  <si>
    <t xml:space="preserve">الاسم</t>
  </si>
  <si>
    <t xml:space="preserve">ما هو جنسك؟
</t>
  </si>
  <si>
    <t xml:space="preserve">ما هو تخصصك؟</t>
  </si>
  <si>
    <r>
      <rPr>
        <sz val="11"/>
        <color theme="1"/>
        <rFont val="FreeSans"/>
        <family val="2"/>
      </rPr>
      <t xml:space="preserve">الدرجة الجامعية </t>
    </r>
    <r>
      <rPr>
        <sz val="11"/>
        <color theme="1"/>
        <rFont val="Calibri"/>
        <family val="2"/>
        <charset val="1"/>
      </rPr>
      <t xml:space="preserve">:
</t>
    </r>
  </si>
  <si>
    <t xml:space="preserve">ما هي سنتك الدراسية؟</t>
  </si>
  <si>
    <t xml:space="preserve">مكان السكن؟</t>
  </si>
  <si>
    <r>
      <rPr>
        <sz val="11"/>
        <color theme="1"/>
        <rFont val="Calibri"/>
        <family val="2"/>
        <charset val="1"/>
      </rPr>
      <t xml:space="preserve">
 </t>
    </r>
    <r>
      <rPr>
        <sz val="11"/>
        <color theme="1"/>
        <rFont val="FreeSans"/>
        <family val="2"/>
      </rPr>
      <t xml:space="preserve">جامعتك خاصة أم حكومية؟</t>
    </r>
  </si>
  <si>
    <t xml:space="preserve">هل سبق لك استخدام أدوات انشاء النصوص باستخدام الذكاء الاصطناعي؟</t>
  </si>
  <si>
    <t xml:space="preserve">كم مدى استخدام أدوات انشاء النصوص باستخدام الذكاء الاصطناعي لأغراض الدراسية؟</t>
  </si>
  <si>
    <t xml:space="preserve">هل تستخدم أدوات انشاء النصوص باستخدام الذكاء الاصطناعي كبديل للبحث التقليدي؟</t>
  </si>
  <si>
    <t xml:space="preserve">هل تشعر أن مهاراتك التحليلية وقدرتك على حل المسائل تأثرت بسبب استخدام أدوات إنشاء النصوص باستخدام الذكاء الاصطناعي؟</t>
  </si>
  <si>
    <t xml:space="preserve">هل تساعدك أدوات إنشاء النصوص باستخدام الذكاء الاصطناعي على التعلم بشكل مستقل؟
 </t>
  </si>
  <si>
    <t xml:space="preserve">هل تقلل أدوات إنشاء النصوص باستخدام الذكاء الاصطناعي من دافعيتك للدراسة أم العكس؟
 </t>
  </si>
  <si>
    <t xml:space="preserve">هل تشعر أنك تعتمد على أدوات انشاء النصوص باستخدام الذكاء الاصطناعي أكثر من اللازم بدلا عن التفكير بنفسك؟</t>
  </si>
  <si>
    <r>
      <rPr>
        <sz val="11"/>
        <color theme="1"/>
        <rFont val="FreeSans"/>
        <family val="2"/>
      </rPr>
      <t xml:space="preserve">هل تعتقد أن استخدام أدوات انشاء النصوص باستخدام الذكاء الاصطناعي في حل المشاريع </t>
    </r>
    <r>
      <rPr>
        <sz val="11"/>
        <color theme="1"/>
        <rFont val="Calibri"/>
        <family val="2"/>
        <charset val="1"/>
      </rPr>
      <t xml:space="preserve">/</t>
    </r>
    <r>
      <rPr>
        <sz val="11"/>
        <color theme="1"/>
        <rFont val="FreeSans"/>
        <family val="2"/>
      </rPr>
      <t xml:space="preserve">الواجبات يعتبر غشا؟</t>
    </r>
  </si>
  <si>
    <t xml:space="preserve">هل سبق لك تسليم مشروع كامل باستخدام أدوات انشاء النصوص باستخدام الذكاء الاصطناعي؟
 </t>
  </si>
  <si>
    <t xml:space="preserve">هل تم مراجعة المحتوى ومراجع المحتوى بعد انشاءه؟</t>
  </si>
  <si>
    <t xml:space="preserve">هل واجهت بعض الأخطاء في المحتوى؟</t>
  </si>
  <si>
    <t xml:space="preserve">هل سبق لك استخدام أدوات انشاء النصوص باستخدام الذكاء الاصطناعي في حل الامتحانات داخل القاعة الجامعية؟</t>
  </si>
  <si>
    <t xml:space="preserve">هل يوفر الذكاء الاصطناعي من وقتك أثناء الدراسة؟</t>
  </si>
  <si>
    <t xml:space="preserve">هل سبق اتهامك او تنبيهك من قبل أحد الأساتذة بشأن استخدام أدوات انشاء النصوص باستخدام الذكاء الاصطناعي في واجب أو مشروع؟
</t>
  </si>
  <si>
    <t xml:space="preserve">بالإشارة إلى السؤال السابق، هل كان المدرس على حق؟</t>
  </si>
  <si>
    <t xml:space="preserve">ما مدى معرفتك بكيفية عمل أدوات كشف استخدام أدوات انشاء النصوص باستخدام الذكاء الاصطناعي؟</t>
  </si>
  <si>
    <t xml:space="preserve">هل تعتقد أن من السهل على الأساتذة اكتشاف استخدام أدوات انشاء النصوص باستخدام الذكاء الاصطناعي؟</t>
  </si>
  <si>
    <t xml:space="preserve">ما هو أكثر أداة ذكاء اصطناعي تستخدمها؟</t>
  </si>
  <si>
    <t xml:space="preserve">هل تعتقد أن أدوات انشاء النصوص باستخدام الذكاء الاصطناعي حسن من التعليم في الأعوام الماضية؟</t>
  </si>
  <si>
    <r>
      <rPr>
        <sz val="11"/>
        <color theme="1"/>
        <rFont val="FreeSans"/>
        <family val="2"/>
      </rPr>
      <t xml:space="preserve">هل تستخدم أدوات إنشاء النصوص باستخدام الذكاء الاصطناعي كبديل لمحركات البحث </t>
    </r>
    <r>
      <rPr>
        <sz val="11"/>
        <color theme="1"/>
        <rFont val="Calibri"/>
        <family val="2"/>
        <charset val="1"/>
      </rPr>
      <t xml:space="preserve">( google, yahoo, etc) </t>
    </r>
    <r>
      <rPr>
        <sz val="11"/>
        <color theme="1"/>
        <rFont val="FreeSans"/>
        <family val="2"/>
      </rPr>
      <t xml:space="preserve">والبحث التقليدي في المراجع والكتب؟</t>
    </r>
  </si>
  <si>
    <t xml:space="preserve">ما هي النصائح لاستخدام أدوات إنشاء النصوص باستخدام الذكاء الاصطناعي بطريقة ايجابية؟</t>
  </si>
  <si>
    <t xml:space="preserve">هل تعلمت أو بحثت في أفضل الطرق لصياغة الأسئلة لمواجهة لأدوات إنشاء النصوص باستخدام الذكاء الاصطناعي؟</t>
  </si>
  <si>
    <t xml:space="preserve">Drop_Risk_Score</t>
  </si>
  <si>
    <t xml:space="preserve">Drop_Class_Label (proxy: 1=drop, 0=no)</t>
  </si>
  <si>
    <t xml:space="preserve">anonymous</t>
  </si>
  <si>
    <t xml:space="preserve">انثى</t>
  </si>
  <si>
    <t xml:space="preserve">تخصصات هندسية وتقنية</t>
  </si>
  <si>
    <t xml:space="preserve">بكالوريوس</t>
  </si>
  <si>
    <t xml:space="preserve">الخامسة فأعلى</t>
  </si>
  <si>
    <t xml:space="preserve">لواء</t>
  </si>
  <si>
    <t xml:space="preserve">حكومية</t>
  </si>
  <si>
    <t xml:space="preserve">نعم</t>
  </si>
  <si>
    <t xml:space="preserve">غالبًا</t>
  </si>
  <si>
    <t xml:space="preserve">دائمًا</t>
  </si>
  <si>
    <t xml:space="preserve">تأثرت بشكل سلبي</t>
  </si>
  <si>
    <t xml:space="preserve">لا تؤثر</t>
  </si>
  <si>
    <t xml:space="preserve">يعتمد على طريقة الاستخدام</t>
  </si>
  <si>
    <t xml:space="preserve">لا</t>
  </si>
  <si>
    <t xml:space="preserve">أحيانًا</t>
  </si>
  <si>
    <r>
      <rPr>
        <sz val="11"/>
        <color theme="1"/>
        <rFont val="FreeSans"/>
        <family val="2"/>
      </rPr>
      <t xml:space="preserve">أجبت السؤال السابق ب</t>
    </r>
    <r>
      <rPr>
        <sz val="11"/>
        <color theme="1"/>
        <rFont val="Calibri"/>
        <family val="2"/>
        <charset val="1"/>
      </rPr>
      <t xml:space="preserve">"</t>
    </r>
    <r>
      <rPr>
        <sz val="11"/>
        <color theme="1"/>
        <rFont val="FreeSans"/>
        <family val="2"/>
      </rPr>
      <t xml:space="preserve">لا</t>
    </r>
    <r>
      <rPr>
        <sz val="11"/>
        <color theme="1"/>
        <rFont val="Calibri"/>
        <family val="2"/>
        <charset val="1"/>
      </rPr>
      <t xml:space="preserve">"</t>
    </r>
  </si>
  <si>
    <t xml:space="preserve">ضعيفة</t>
  </si>
  <si>
    <t xml:space="preserve">ChatGPT;Google Gemini;</t>
  </si>
  <si>
    <t xml:space="preserve">ما عندي</t>
  </si>
  <si>
    <t xml:space="preserve">لا </t>
  </si>
  <si>
    <t xml:space="preserve">الثالثة</t>
  </si>
  <si>
    <t xml:space="preserve">العاصمة</t>
  </si>
  <si>
    <t xml:space="preserve">لم تتأثر</t>
  </si>
  <si>
    <t xml:space="preserve">تزيد الدافعية</t>
  </si>
  <si>
    <t xml:space="preserve">نعم بشكل كبير</t>
  </si>
  <si>
    <t xml:space="preserve">ممتازة</t>
  </si>
  <si>
    <t xml:space="preserve">Google Gemini;ChatGPT;</t>
  </si>
  <si>
    <t xml:space="preserve">.</t>
  </si>
  <si>
    <t xml:space="preserve">ذكر</t>
  </si>
  <si>
    <t xml:space="preserve">الرابعة</t>
  </si>
  <si>
    <t xml:space="preserve">محافظة</t>
  </si>
  <si>
    <t xml:space="preserve">تأثرت بشكل إيجابي</t>
  </si>
  <si>
    <t xml:space="preserve">جيدة </t>
  </si>
  <si>
    <t xml:space="preserve">ChatGPT;</t>
  </si>
  <si>
    <t xml:space="preserve">تخصصات علمية</t>
  </si>
  <si>
    <t xml:space="preserve">Google Gemini;Claude;</t>
  </si>
  <si>
    <t xml:space="preserve">عدم الاعتماد عليها بشكل كلي حتى لا تنعدم مهاراتك بشكل كامل </t>
  </si>
  <si>
    <t xml:space="preserve">لا الصراحة </t>
  </si>
  <si>
    <t xml:space="preserve">تخصصات طبية</t>
  </si>
  <si>
    <t xml:space="preserve">نادرًا</t>
  </si>
  <si>
    <t xml:space="preserve">أبدًا</t>
  </si>
  <si>
    <t xml:space="preserve">إلى حد ما</t>
  </si>
  <si>
    <t xml:space="preserve">متوسطة</t>
  </si>
  <si>
    <t xml:space="preserve">Google Gemini;</t>
  </si>
  <si>
    <t xml:space="preserve">تحديد مواضيع و تفصيلهم بشكل دقيق </t>
  </si>
  <si>
    <t xml:space="preserve">الثانية</t>
  </si>
  <si>
    <t xml:space="preserve">تقلل الدافعية</t>
  </si>
  <si>
    <t xml:space="preserve">كثيرًا</t>
  </si>
  <si>
    <t xml:space="preserve">جزئيًا</t>
  </si>
  <si>
    <t xml:space="preserve">Google Gemini;Microsoft Copilot;NoteLM;</t>
  </si>
  <si>
    <t xml:space="preserve">تحديد الغاية و الهدف من كل سؤال تساله للذكاء الاصطناعي كي لا يبحث في مواضيع خارجة عن اهتمامك </t>
  </si>
  <si>
    <r>
      <rPr>
        <sz val="11"/>
        <color theme="1"/>
        <rFont val="FreeSans"/>
        <family val="2"/>
      </rPr>
      <t xml:space="preserve">نعم </t>
    </r>
    <r>
      <rPr>
        <sz val="11"/>
        <color theme="1"/>
        <rFont val="Calibri"/>
        <family val="2"/>
        <charset val="1"/>
      </rPr>
      <t xml:space="preserve">(</t>
    </r>
    <r>
      <rPr>
        <sz val="11"/>
        <color theme="1"/>
        <rFont val="FreeSans"/>
        <family val="2"/>
      </rPr>
      <t xml:space="preserve">تعلمت بالطريقة الصعبة</t>
    </r>
    <r>
      <rPr>
        <sz val="11"/>
        <color theme="1"/>
        <rFont val="Calibri"/>
        <family val="2"/>
        <charset val="1"/>
      </rPr>
      <t xml:space="preserve">)</t>
    </r>
  </si>
  <si>
    <t xml:space="preserve">ChatGPT;Claude;</t>
  </si>
  <si>
    <t xml:space="preserve">الاقتباس منها وعدم اخذ النص بالكامل</t>
  </si>
  <si>
    <r>
      <rPr>
        <sz val="11"/>
        <color theme="1"/>
        <rFont val="FreeSans"/>
        <family val="2"/>
      </rPr>
      <t xml:space="preserve">لا تعتمد عليها </t>
    </r>
    <r>
      <rPr>
        <sz val="11"/>
        <color theme="1"/>
        <rFont val="Calibri"/>
        <family val="2"/>
        <charset val="1"/>
      </rPr>
      <t xml:space="preserve">100%</t>
    </r>
  </si>
  <si>
    <t xml:space="preserve">عدم الاعتماد عليها بشكل مبالغ فيه</t>
  </si>
  <si>
    <t xml:space="preserve">لا لم ابحث</t>
  </si>
  <si>
    <t xml:space="preserve">Claude;</t>
  </si>
  <si>
    <t xml:space="preserve">N</t>
  </si>
  <si>
    <t xml:space="preserve">Yes</t>
  </si>
  <si>
    <t xml:space="preserve">Claude;ChatGPT;Google Gemini;</t>
  </si>
  <si>
    <t xml:space="preserve">استخدامها بطريقة سليمة ولا مانع من استخدامها في الواجبات والبحوث</t>
  </si>
  <si>
    <t xml:space="preserve">خاصة</t>
  </si>
  <si>
    <t xml:space="preserve">-</t>
  </si>
  <si>
    <t xml:space="preserve">ChatGPT;Google Gemini;Microsoft Copilot;Claude;</t>
  </si>
  <si>
    <t xml:space="preserve">عدم الاعتماد عليها كليا ومراجعتها لاحتمالية وجود أخطاء </t>
  </si>
  <si>
    <t xml:space="preserve">نعم أحيانا</t>
  </si>
  <si>
    <t xml:space="preserve">يحاول يوصل السؤال بشكل صحيح ل أدوات الذكاء الاصطناعي ويحاول يراجع من وراه</t>
  </si>
  <si>
    <t xml:space="preserve">لا  صارت بالخبره</t>
  </si>
  <si>
    <t xml:space="preserve">لا تعتمد عليها كليا</t>
  </si>
  <si>
    <t xml:space="preserve">للمساعدة بالدراسة وتبسيط المعلومة</t>
  </si>
  <si>
    <t xml:space="preserve">Google Gemini;ChatGPT;Claude;</t>
  </si>
  <si>
    <t xml:space="preserve">الاعتماد على التفكير اولاً ثم اللجوء إلى استخدامها </t>
  </si>
  <si>
    <t xml:space="preserve">عدم الاعتماد عليها بشكل كامل </t>
  </si>
  <si>
    <t xml:space="preserve">نعم </t>
  </si>
  <si>
    <t xml:space="preserve">الاعتماد عليها ولكن ليس بشكل كلي </t>
  </si>
  <si>
    <t xml:space="preserve">استخدامها بالأمور الدراسية وعدم الحديث معه بمعلومات شخصية لانها ممكن تتسرب </t>
  </si>
  <si>
    <t xml:space="preserve">يجب دائما مراجعة ما كتب من قبل الذكاء الاصطناعي وفهم ما كتب بشكل جيد </t>
  </si>
  <si>
    <t xml:space="preserve">ChatGPT;Google Gemini;Claude;</t>
  </si>
  <si>
    <t xml:space="preserve">عدم الاعتماد الكلي عليها ونقل ما يقدمه كما هو نسخ لصق بدون التعب على ما اعطاك اياه</t>
  </si>
  <si>
    <t xml:space="preserve">لأ </t>
  </si>
  <si>
    <t xml:space="preserve">Google Gemini;Microsoft Copilot;Claude;ChatGPT;</t>
  </si>
  <si>
    <t xml:space="preserve">استخدامها كمساعد وليس بديل للتفكير الشخصي</t>
  </si>
  <si>
    <t xml:space="preserve">تعلمت بنفسي عن طريق التجارب</t>
  </si>
  <si>
    <r>
      <rPr>
        <sz val="11"/>
        <color theme="1"/>
        <rFont val="FreeSans"/>
        <family val="2"/>
      </rPr>
      <t xml:space="preserve">عند حل واجب مثلا </t>
    </r>
    <r>
      <rPr>
        <sz val="11"/>
        <color theme="1"/>
        <rFont val="Calibri"/>
        <family val="2"/>
        <charset val="1"/>
      </rPr>
      <t xml:space="preserve">.. </t>
    </r>
    <r>
      <rPr>
        <sz val="11"/>
        <color theme="1"/>
        <rFont val="FreeSans"/>
        <family val="2"/>
      </rPr>
      <t xml:space="preserve">من الافضل ان نفكر ونحاول بنفسنا اولا او عالاقل وضع الافكار الرئيسيه </t>
    </r>
    <r>
      <rPr>
        <sz val="11"/>
        <color theme="1"/>
        <rFont val="Calibri"/>
        <family val="2"/>
        <charset val="1"/>
      </rPr>
      <t xml:space="preserve">.. </t>
    </r>
    <r>
      <rPr>
        <sz val="11"/>
        <color theme="1"/>
        <rFont val="FreeSans"/>
        <family val="2"/>
      </rPr>
      <t xml:space="preserve">ثم التفاصيل والاسئله التي لم نعرفها نبحث عنها بالذكاء الاصطناعي </t>
    </r>
  </si>
  <si>
    <r>
      <rPr>
        <sz val="11"/>
        <color theme="1"/>
        <rFont val="Calibri"/>
        <family val="2"/>
        <charset val="1"/>
      </rPr>
      <t xml:space="preserve">1. </t>
    </r>
    <r>
      <rPr>
        <sz val="11"/>
        <color theme="1"/>
        <rFont val="FreeSans"/>
        <family val="2"/>
      </rPr>
      <t xml:space="preserve">استخدمها كمساعد لا كبديل كامل</t>
    </r>
  </si>
  <si>
    <t xml:space="preserve">نعم،تحديد المطلوب بوضوح وتفاصيل</t>
  </si>
  <si>
    <t xml:space="preserve">يساعدك لتفهم المعلومة مش يحل عنك 
يعطيك نماذج امتحانات ليحسن من مستواك 
بشكل عام خليه وسيلة للعلم مو بديل عنه </t>
  </si>
  <si>
    <t xml:space="preserve">امشي معه شوي شوي وسلايد سلايد ما أعطي التشابتر واسيبه </t>
  </si>
  <si>
    <t xml:space="preserve">عدم الاعتماد عليها بشكل كلي واستخدامها الدائم </t>
  </si>
  <si>
    <t xml:space="preserve">ChatGPT;Claude;Google Gemini;</t>
  </si>
  <si>
    <t xml:space="preserve">استخدامها ب طريقة معقولة وعدم الأعتماد عليها ب شكل كبير</t>
  </si>
  <si>
    <t xml:space="preserve">اه و لاحظت فرق واضح ب إجابات الذكاء الاصطناعي</t>
  </si>
  <si>
    <t xml:space="preserve">استخدامها كأداة للمساعدة وليس للاعتماد عليها بشكل كلي </t>
  </si>
  <si>
    <t xml:space="preserve">التأكد من المعلومات بعد البحث والتعديل عليها واضافة معلومات منك</t>
  </si>
  <si>
    <r>
      <rPr>
        <sz val="11"/>
        <color theme="1"/>
        <rFont val="FreeSans"/>
        <family val="2"/>
      </rPr>
      <t xml:space="preserve">لا بأس باستخدامها في حال كان الهدف </t>
    </r>
    <r>
      <rPr>
        <sz val="11"/>
        <color theme="1"/>
        <rFont val="Calibri"/>
        <family val="2"/>
        <charset val="1"/>
      </rPr>
      <t xml:space="preserve">:
</t>
    </r>
    <r>
      <rPr>
        <sz val="11"/>
        <color theme="1"/>
        <rFont val="FreeSans"/>
        <family val="2"/>
      </rPr>
      <t xml:space="preserve">١</t>
    </r>
    <r>
      <rPr>
        <sz val="11"/>
        <color theme="1"/>
        <rFont val="Calibri"/>
        <family val="2"/>
        <charset val="1"/>
      </rPr>
      <t xml:space="preserve">- توفير الوقت
</t>
    </r>
    <r>
      <rPr>
        <sz val="11"/>
        <color theme="1"/>
        <rFont val="FreeSans"/>
        <family val="2"/>
      </rPr>
      <t xml:space="preserve">٢</t>
    </r>
    <r>
      <rPr>
        <sz val="11"/>
        <color theme="1"/>
        <rFont val="Calibri"/>
        <family val="2"/>
        <charset val="1"/>
      </rPr>
      <t xml:space="preserve">- التعلم و الاستفادة من النتائج و المعلومات الناتجه من استخدام هذه الادوات</t>
    </r>
  </si>
  <si>
    <t xml:space="preserve">لا، لكن تعلمت لوحدي بعد فترة من استخدام الادوات</t>
  </si>
  <si>
    <t xml:space="preserve">عدم الاعتماد الكلي على ادوات انشاء النصوص اعطاء النفس فرصة للتفكير </t>
  </si>
  <si>
    <t xml:space="preserve">نعم اخذت دورة متخصصة </t>
  </si>
  <si>
    <t xml:space="preserve">Claude;Google Gemini;</t>
  </si>
  <si>
    <t xml:space="preserve">استخدم بذكاء بلاش نسخ لصف </t>
  </si>
  <si>
    <t xml:space="preserve">نعم اللغة تلعب دور كبير لما الحث بالانجليزي بلاقي اشياء ادق من لما ابحث بالعربي </t>
  </si>
  <si>
    <r>
      <rPr>
        <sz val="11"/>
        <color theme="1"/>
        <rFont val="FreeSans"/>
        <family val="2"/>
      </rPr>
      <t xml:space="preserve">تخصصات أدبية</t>
    </r>
    <r>
      <rPr>
        <sz val="11"/>
        <color theme="1"/>
        <rFont val="Calibri"/>
        <family val="2"/>
        <charset val="1"/>
      </rPr>
      <t xml:space="preserve">/</t>
    </r>
    <r>
      <rPr>
        <sz val="11"/>
        <color theme="1"/>
        <rFont val="FreeSans"/>
        <family val="2"/>
      </rPr>
      <t xml:space="preserve">إنسانية</t>
    </r>
  </si>
  <si>
    <t xml:space="preserve">..
</t>
  </si>
  <si>
    <t xml:space="preserve">..</t>
  </si>
  <si>
    <t xml:space="preserve">ChatGPT;Google Gemini;Microsoft Copilot;</t>
  </si>
  <si>
    <r>
      <rPr>
        <sz val="11"/>
        <color theme="1"/>
        <rFont val="FreeSans"/>
        <family val="2"/>
      </rPr>
      <t xml:space="preserve">الاستفادة منها لتطوير الأفكار وزيادة الإبداع وليس للغش أو النسخ</t>
    </r>
    <r>
      <rPr>
        <sz val="11"/>
        <color theme="1"/>
        <rFont val="Calibri"/>
        <family val="2"/>
        <charset val="1"/>
      </rPr>
      <t xml:space="preserve">.</t>
    </r>
  </si>
  <si>
    <r>
      <rPr>
        <sz val="11"/>
        <color theme="1"/>
        <rFont val="FreeSans"/>
        <family val="2"/>
      </rPr>
      <t xml:space="preserve">نعم، تعلمت كيفية صياغة الأسئلة بشكل واضح ودقيق للحصول على نتائج أفضل من أدوات الذكاء الاصطناعي</t>
    </r>
    <r>
      <rPr>
        <sz val="11"/>
        <color theme="1"/>
        <rFont val="Calibri"/>
        <family val="2"/>
        <charset val="1"/>
      </rPr>
      <t xml:space="preserve">.</t>
    </r>
  </si>
  <si>
    <t xml:space="preserve">ما تعتمد عليها اعتماد تام</t>
  </si>
  <si>
    <t xml:space="preserve">اه</t>
  </si>
  <si>
    <t xml:space="preserve">You should use AI tools in a responsible way by checking the information using your own ideas and not copying everything directly</t>
  </si>
  <si>
    <t xml:space="preserve">Yes, asking clear and specific questions helps AI give better and more accurate answers
</t>
  </si>
  <si>
    <r>
      <rPr>
        <sz val="11"/>
        <color theme="1"/>
        <rFont val="Calibri"/>
        <family val="2"/>
        <charset val="1"/>
      </rPr>
      <t xml:space="preserve">1.</t>
    </r>
    <r>
      <rPr>
        <sz val="11"/>
        <color theme="1"/>
        <rFont val="FreeSans"/>
        <family val="2"/>
      </rPr>
      <t xml:space="preserve">ان لا تعتمد على الإجابة بشكل كلي ، يجب مراجعتها و التاكد من صحتها 
</t>
    </r>
    <r>
      <rPr>
        <sz val="11"/>
        <color theme="1"/>
        <rFont val="Calibri"/>
        <family val="2"/>
        <charset val="1"/>
      </rPr>
      <t xml:space="preserve">2. </t>
    </r>
    <r>
      <rPr>
        <sz val="11"/>
        <color theme="1"/>
        <rFont val="FreeSans"/>
        <family val="2"/>
      </rPr>
      <t xml:space="preserve">إن ادوات الذكاء الاصطناعي هي عبارة عن مساعد فقط و ليست اداة متخصصة يعتمد عليها بشكل تام 
</t>
    </r>
    <r>
      <rPr>
        <sz val="11"/>
        <color theme="1"/>
        <rFont val="Calibri"/>
        <family val="2"/>
        <charset val="1"/>
      </rPr>
      <t xml:space="preserve">3.</t>
    </r>
    <r>
      <rPr>
        <sz val="11"/>
        <color theme="1"/>
        <rFont val="FreeSans"/>
        <family val="2"/>
      </rPr>
      <t xml:space="preserve">عند استخدام هذه الادوات يجب اولا المحاولة بدونها ثم إذا استمرت المشكلة طلب المساعدة منها و ليس حل المشكلة كاملة باستخدامها </t>
    </r>
  </si>
  <si>
    <t xml:space="preserve">لا ، لم ابحث في هذا من قبل </t>
  </si>
  <si>
    <t xml:space="preserve">استخدامه بطريقة مجيدة و فعالة</t>
  </si>
  <si>
    <t xml:space="preserve">قرية</t>
  </si>
  <si>
    <t xml:space="preserve"> استخدام هذه الأدوات كمساعد في التفكير وليس بديلًا عنه كي لا تطمس هويتك الفكرية</t>
  </si>
  <si>
    <t xml:space="preserve">Always triple-check the answer
</t>
  </si>
  <si>
    <t xml:space="preserve">عدم استخدامها ك بديل كامل، بل معرفة كيفية تسخيرها لصقل المهارات و زيادة احترافيتك، المراجعة بعدها للتعلم و الإستفادة منها</t>
  </si>
  <si>
    <t xml:space="preserve">نعم، تعلم مهارات التواصل مع هذه الادوات يعطي فرق شاسع في جودة الإجابات </t>
  </si>
  <si>
    <t xml:space="preserve">الأولى</t>
  </si>
  <si>
    <t xml:space="preserve">اعطاء تصور عام عن المواضيع و ليس البحث العميق فيها
اعطاء توجيهات </t>
  </si>
  <si>
    <t xml:space="preserve">عدم الاتكال عليها في المشروع بشكل تام </t>
  </si>
  <si>
    <t xml:space="preserve">اايوجد</t>
  </si>
  <si>
    <r>
      <rPr>
        <sz val="11"/>
        <color theme="1"/>
        <rFont val="FreeSans"/>
        <family val="2"/>
      </rPr>
      <t xml:space="preserve">ان تقوم أدوات انشاء النصوص بإستخدام الذكاء الاصطناعي كال</t>
    </r>
    <r>
      <rPr>
        <sz val="11"/>
        <color theme="1"/>
        <rFont val="Calibri"/>
        <family val="2"/>
        <charset val="1"/>
      </rPr>
      <t xml:space="preserve">Google Gemini </t>
    </r>
    <r>
      <rPr>
        <sz val="11"/>
        <color theme="1"/>
        <rFont val="FreeSans"/>
        <family val="2"/>
      </rPr>
      <t xml:space="preserve">بتلخيص وترتيب وتسهيل ورسم مخطط فهذا تقريبا </t>
    </r>
    <r>
      <rPr>
        <sz val="11"/>
        <color theme="1"/>
        <rFont val="Calibri"/>
        <family val="2"/>
        <charset val="1"/>
      </rPr>
      <t xml:space="preserve">50% </t>
    </r>
    <r>
      <rPr>
        <sz val="11"/>
        <color theme="1"/>
        <rFont val="FreeSans"/>
        <family val="2"/>
      </rPr>
      <t xml:space="preserve">من انجازك للماده او الإختبار </t>
    </r>
  </si>
  <si>
    <t xml:space="preserve">نعم على ما اعتقد كل ما كان المطلوب بشكل واضح ومطروح بالسؤال جميع النقاط يلي بدنا اياها رح تطلع النتيجه مثل ما نريد </t>
  </si>
  <si>
    <t xml:space="preserve">عدم الاعتماد عليه بشكل كامل لانه ممكن يأثر على الشخصية الاجتماعية بحيث انك تعتمد عليه حتى في حياتك الشخصية واتخاذ قراراتك وهاد اكيد غلط</t>
  </si>
  <si>
    <t xml:space="preserve">بحثت وفي مجالات واسعة ودورات كاملة ل كتابة البرومت</t>
  </si>
  <si>
    <t xml:space="preserve">أخرى</t>
  </si>
  <si>
    <t xml:space="preserve">ان يكون هناك مراجعة على كل شيء يتم كتابته لانه هناك نسبة خطا فيه</t>
  </si>
  <si>
    <t xml:space="preserve">Take ideas but dont copy and paste</t>
  </si>
  <si>
    <t xml:space="preserve">….</t>
  </si>
  <si>
    <t xml:space="preserve">…..</t>
  </si>
  <si>
    <t xml:space="preserve">Claude;ChatGPT;</t>
  </si>
  <si>
    <r>
      <rPr>
        <sz val="11"/>
        <color theme="1"/>
        <rFont val="Calibri"/>
        <family val="2"/>
        <charset val="1"/>
      </rPr>
      <t xml:space="preserve">1)</t>
    </r>
    <r>
      <rPr>
        <sz val="11"/>
        <color theme="1"/>
        <rFont val="FreeSans"/>
        <family val="2"/>
      </rPr>
      <t xml:space="preserve">استخدامها كمساعد وليس كبديل لتفكير
</t>
    </r>
    <r>
      <rPr>
        <sz val="11"/>
        <color theme="1"/>
        <rFont val="Calibri"/>
        <family val="2"/>
        <charset val="1"/>
      </rPr>
      <t xml:space="preserve">2) </t>
    </r>
    <r>
      <rPr>
        <sz val="11"/>
        <color theme="1"/>
        <rFont val="FreeSans"/>
        <family val="2"/>
      </rPr>
      <t xml:space="preserve">عدم النسخ من غير فهم </t>
    </r>
  </si>
  <si>
    <t xml:space="preserve">0</t>
  </si>
  <si>
    <t xml:space="preserve">ً</t>
  </si>
  <si>
    <t xml:space="preserve">Claude;Google Gemini;ChatGPT;</t>
  </si>
  <si>
    <t xml:space="preserve">مراجعة النصوص وتقليل الاعتماد الكلي عليها</t>
  </si>
  <si>
    <t xml:space="preserve">ليس بعد</t>
  </si>
  <si>
    <t xml:space="preserve">مراجعة المحتوى</t>
  </si>
  <si>
    <t xml:space="preserve">Try to learn when doing the task </t>
  </si>
  <si>
    <t xml:space="preserve">Yes prompt learning </t>
  </si>
  <si>
    <t xml:space="preserve">وصف كل ما لديك من معلومات لأخذ أفضل نتيجة ممكنة </t>
  </si>
  <si>
    <t xml:space="preserve">عدم الاعتماد عليها بشكل تام </t>
  </si>
  <si>
    <t xml:space="preserve">‏نعم</t>
  </si>
  <si>
    <t xml:space="preserve">ماجستير</t>
  </si>
  <si>
    <t xml:space="preserve">قراءة المحتوى ثم مقارنته بالمراجع</t>
  </si>
  <si>
    <t xml:space="preserve">Claude;ChatGPT;Deepseek ;</t>
  </si>
  <si>
    <t xml:space="preserve">لتلخيص  المهام</t>
  </si>
  <si>
    <t xml:space="preserve">Prompt engineering</t>
  </si>
  <si>
    <t xml:space="preserve">. </t>
  </si>
  <si>
    <t xml:space="preserve">no</t>
  </si>
  <si>
    <t xml:space="preserve">يجب استخدامها بحذر ثم تحليلها ويجب اعاده صياغتها بطريقت الخاصه بحيث يعمل الذاء على ترتيب جميع أفكارك ضمن إطار منتظم ثم نقوم باعاده صياغه العمل بافكارنا ومسمياتنا  للعمل على تحفيز التفكير قليلا</t>
  </si>
  <si>
    <t xml:space="preserve">لا يوجد 
</t>
  </si>
  <si>
    <t xml:space="preserve">لا
</t>
  </si>
  <si>
    <t xml:space="preserve">استخدمها لغايات المساعدة و ليس الاعتماد الكامل </t>
  </si>
  <si>
    <r>
      <rPr>
        <sz val="11"/>
        <color theme="1"/>
        <rFont val="FreeSans"/>
        <family val="2"/>
      </rPr>
      <t xml:space="preserve">عدم الاعتماد الكلّي عليها، هي وسيلة مساعدة لا أساسيّة، كما ينبغي مراجعة هذه النصوص والتأكّد منها بشكل مفصّل للحصول على النتيجة المطلوبة</t>
    </r>
    <r>
      <rPr>
        <sz val="11"/>
        <color theme="1"/>
        <rFont val="Calibri"/>
        <family val="2"/>
        <charset val="1"/>
      </rPr>
      <t xml:space="preserve">.</t>
    </r>
  </si>
  <si>
    <r>
      <rPr>
        <sz val="11"/>
        <color theme="1"/>
        <rFont val="FreeSans"/>
        <family val="2"/>
      </rPr>
      <t xml:space="preserve">لا، ولكن عادةً ما أستطيع صياغة الطّلب بطريقة جيّدة فأحصل على مخرجات جيّدة</t>
    </r>
    <r>
      <rPr>
        <sz val="11"/>
        <color theme="1"/>
        <rFont val="Calibri"/>
        <family val="2"/>
        <charset val="1"/>
      </rPr>
      <t xml:space="preserve">.</t>
    </r>
  </si>
  <si>
    <t xml:space="preserve">لا تتعمق في الاستخدام </t>
  </si>
  <si>
    <t xml:space="preserve">لا تعتمد عليه بشكل كامل وكلي بل استخدمه ليفيدك بطريقة ذكية </t>
  </si>
  <si>
    <t xml:space="preserve">عدم الاعتماد عليها بشكل كلي و منح العقل فرصة للتفكير و التحليل</t>
  </si>
  <si>
    <t xml:space="preserve">Google Gemini;DeepSeek;</t>
  </si>
  <si>
    <t xml:space="preserve">استخدامها لتسهيل الدارسة وإنشاء ملخصات و التأكد من المعلومات </t>
  </si>
  <si>
    <t xml:space="preserve">عدم الاعتماد عليها بشكل كامل بل الاستعانه بها لتسريع والتحسين من حل الواجب والمشاريع والدراسه </t>
  </si>
  <si>
    <t xml:space="preserve">طلب مراجع و روابط من الأداة و العودة للمقال أو الرابط الأصلي و تدقيقه
استخدامها كقالب عام أكثر من محتوى مع التعديل على القالب أيضا 
استخدامها بعد التفكير و عصر الدماغ جيدا للاستنارة أو الإضافة أو التعديل لرفع الكفاءة </t>
  </si>
  <si>
    <r>
      <rPr>
        <sz val="11"/>
        <color theme="1"/>
        <rFont val="FreeSans"/>
        <family val="2"/>
      </rPr>
      <t xml:space="preserve">لم أبحث كثيرا </t>
    </r>
    <r>
      <rPr>
        <sz val="11"/>
        <color theme="1"/>
        <rFont val="Calibri"/>
        <family val="2"/>
        <charset val="1"/>
      </rPr>
      <t xml:space="preserve">.. </t>
    </r>
    <r>
      <rPr>
        <sz val="11"/>
        <color theme="1"/>
        <rFont val="FreeSans"/>
        <family val="2"/>
      </rPr>
      <t xml:space="preserve">بشكل سطحي </t>
    </r>
  </si>
  <si>
    <t xml:space="preserve">اعطاء المراجع للسؤال اللذي ترغب جوابه</t>
  </si>
  <si>
    <t xml:space="preserve">ChatGPT;Claude;manus;</t>
  </si>
  <si>
    <t xml:space="preserve">التأكد من صحت الاجابات</t>
  </si>
  <si>
    <t xml:space="preserve">We have to use it as a tool only, not as a human who can think and manage whatever we want to do. </t>
  </si>
  <si>
    <t xml:space="preserve">No</t>
  </si>
  <si>
    <t xml:space="preserve">يفضل عدم الاعتماد عليها بكثرة واعتماد الشخص على تفكيره الإبداعي</t>
  </si>
  <si>
    <t xml:space="preserve">لم اتمعّن كثيرا في هذا الموضوع</t>
  </si>
  <si>
    <t xml:space="preserve">استخدامها بحذر </t>
  </si>
  <si>
    <t xml:space="preserve">استخدمها كوسيلة مساعده وتسهيل وليس اعتماد كلي</t>
  </si>
  <si>
    <t xml:space="preserve">وضع افكار مسبقة من نفسك عن طريق العصف الذهني </t>
  </si>
  <si>
    <t xml:space="preserve">اكتب افكارك الرئيسية ودعه يفصلها</t>
  </si>
  <si>
    <t xml:space="preserve">ان تكون مساعد لك وتعدل ع عملك لا ان تعمل كل شي </t>
  </si>
  <si>
    <t xml:space="preserve">يمكننا استخدامه لمساعدتنا بانشاء افكار </t>
  </si>
  <si>
    <t xml:space="preserve">Microsoft Copilot;</t>
  </si>
  <si>
    <t xml:space="preserve">اهم شي ما يكون كل الاعتماد عليه </t>
  </si>
  <si>
    <t xml:space="preserve">نعم لكن لسا الموضوع مش فاهمته كثير أنه كيف</t>
  </si>
  <si>
    <t xml:space="preserve">انه ما يعتمد الواحد عليها ويحاول قدر الامكان تشرح الفكرة مو تحل عنه</t>
  </si>
  <si>
    <t xml:space="preserve">الإجابة بالرجوع إلى مصادر علمية موثوقة ، و يكون جزء من عملية التعليم لا الاعتماد الكلي علي </t>
  </si>
  <si>
    <t xml:space="preserve">Be direct and specific to the point and adk direct questions </t>
  </si>
  <si>
    <t xml:space="preserve">ChatGPT</t>
  </si>
  <si>
    <t xml:space="preserve">nothing</t>
  </si>
  <si>
    <t xml:space="preserve">Claude;ChatGPT;Google Gemini</t>
  </si>
  <si>
    <t xml:space="preserve">استخدامه ل ربط و ترتيب الافكار</t>
  </si>
  <si>
    <r>
      <rPr>
        <sz val="11"/>
        <color theme="1"/>
        <rFont val="FreeSans"/>
        <family val="2"/>
      </rPr>
      <t xml:space="preserve">لا تركن عليه بأي اشي بنسبة </t>
    </r>
    <r>
      <rPr>
        <sz val="11"/>
        <color theme="1"/>
        <rFont val="Calibri"/>
        <family val="2"/>
        <charset val="1"/>
      </rPr>
      <t xml:space="preserve">100% </t>
    </r>
    <r>
      <rPr>
        <sz val="11"/>
        <color theme="1"/>
        <rFont val="FreeSans"/>
        <family val="2"/>
      </rPr>
      <t xml:space="preserve">استخدمه بذكاء حتى تكون انت الكسبان</t>
    </r>
  </si>
  <si>
    <t xml:space="preserve">نعم بس ما تعمقت كثير بالموضوع وبفكر آخد دورات أتعلم هاد الاشي </t>
  </si>
  <si>
    <t xml:space="preserve"> I Don't know </t>
  </si>
  <si>
    <t xml:space="preserve">Claude</t>
  </si>
  <si>
    <t xml:space="preserve">دع فرصة لنفسك اجعلك الذكاء الإصطناعي تحت إحكام يدك ولست انت يحكمك الذكاء الإصطناعي</t>
  </si>
  <si>
    <t xml:space="preserve">حضرت محاضرة عن هندسة الأوامر </t>
  </si>
  <si>
    <r>
      <rPr>
        <sz val="11"/>
        <color theme="1"/>
        <rFont val="Calibri"/>
        <family val="2"/>
        <charset val="1"/>
      </rPr>
      <t xml:space="preserve">.</t>
    </r>
    <r>
      <rPr>
        <sz val="11"/>
        <color theme="1"/>
        <rFont val="FreeSans"/>
        <family val="2"/>
      </rPr>
      <t xml:space="preserve">الاستعانه فيه وليس جعله بديل عنك</t>
    </r>
  </si>
  <si>
    <t xml:space="preserve">Claude;ChatGPT</t>
  </si>
  <si>
    <t xml:space="preserve">Mindset: You must understand that these are tools to be fast, not to stay in confrt zone as mush as you can </t>
  </si>
  <si>
    <t xml:space="preserve">My point of view the easiest way:
generally ask him to give you a full proposal(prompt) for your idea, and then send that proposal(prompt) back to him</t>
  </si>
  <si>
    <t xml:space="preserve">ChatGPT;Google Gemini</t>
  </si>
  <si>
    <t xml:space="preserve">استخدامه كمساعد لا كبديل للحل اليدوي </t>
  </si>
  <si>
    <t xml:space="preserve">استخدامها عند الحاجه والتأكد من المحتوى والمصادر وليس اعتماد كُلي عليها </t>
  </si>
  <si>
    <t xml:space="preserve">ChatGPT;Claude</t>
  </si>
  <si>
    <t xml:space="preserve">استخدامه بطريقة إيجابية بعيداً عن الاسراف في الوقت والاعتماد على الذغ</t>
  </si>
  <si>
    <t xml:space="preserve">توفر الوقت و الجهد </t>
  </si>
  <si>
    <t xml:space="preserve">Idk </t>
  </si>
  <si>
    <t xml:space="preserve">عدم الاعتماد عليه بشكل كامل</t>
  </si>
  <si>
    <t xml:space="preserve">ChatGPT;Google Gemini;Microsoft Copilot</t>
  </si>
  <si>
    <t xml:space="preserve">شرح افكار ومعلومات معينه </t>
  </si>
  <si>
    <t xml:space="preserve">Google Gemini</t>
  </si>
  <si>
    <t xml:space="preserve">عدم الاعتماد عليها بشكل دائم</t>
  </si>
  <si>
    <t xml:space="preserve">Google Gemini;ChatGPT;Microsoft Copilot</t>
  </si>
  <si>
    <t xml:space="preserve">للدراسه وتحليل المعلومات وليس لغايات الإعتماد كلي على الذكاء الإصطناعي</t>
  </si>
  <si>
    <t xml:space="preserve">--</t>
  </si>
  <si>
    <t xml:space="preserve">ليس بشكل كامل</t>
  </si>
  <si>
    <t xml:space="preserve">استخدامها للتعلم بشكل اسرع  وليس لحل  مكان التفكير وتجريب </t>
  </si>
  <si>
    <t xml:space="preserve">لا يوجد</t>
  </si>
  <si>
    <t xml:space="preserve">احكيلو يشرحلي كاني ما بعرف اشي و بطريقة ممتعة</t>
  </si>
  <si>
    <t xml:space="preserve">ChatGPT;Google Gemini;Microsoft Copilot;Claude</t>
  </si>
  <si>
    <t xml:space="preserve">تحليل بعمق المعلومات وتحريرها واستفادة من علمها</t>
  </si>
  <si>
    <t xml:space="preserve">نعم تعلمت برومت انجنيرنغ</t>
  </si>
  <si>
    <t xml:space="preserve">ان يتم استخدامها فقط كوسيلة مساعدة في الدراسة 
وإلا تصبح عبئاً على الطالب بحيث لا يقوم بتعلم شيء نهائياً</t>
  </si>
  <si>
    <t xml:space="preserve">ل</t>
  </si>
  <si>
    <t xml:space="preserve">Google Gemini;ChatGPT</t>
  </si>
  <si>
    <t xml:space="preserve">   </t>
  </si>
  <si>
    <t xml:space="preserve">    </t>
  </si>
  <si>
    <t xml:space="preserve">Google Gemini;Claude</t>
  </si>
  <si>
    <t xml:space="preserve">استخدامها للمساعده فقط 
وليس للاعتماد الكامل </t>
  </si>
  <si>
    <t xml:space="preserve">……</t>
  </si>
  <si>
    <t xml:space="preserve">يس</t>
  </si>
  <si>
    <t xml:space="preserve">عدم الاعتماد الكلي
طلب منه عدم المبالغة بالمدح والدخول لصلب الموضوع مباشرة</t>
  </si>
  <si>
    <t xml:space="preserve">نوعًا ما</t>
  </si>
  <si>
    <t xml:space="preserve">Microsoft Copilot</t>
  </si>
  <si>
    <t xml:space="preserve">انتقاء الكلمات ل جعل ال الذكاء كتابه ما تريد
</t>
  </si>
  <si>
    <t xml:space="preserve">عدم الاعتماد عليها اعتماد كلي و استخدامها كأداه للتحسين فقط </t>
  </si>
  <si>
    <t xml:space="preserve">عدم الثقة بالنتائج
عدم استخدامها كبديل للتفكير
ادراك بان الصياغة المقنعة لا تعني الصحة</t>
  </si>
  <si>
    <t xml:space="preserve">ظهرت لي فيديوهات تتحدث عن الموضوع، لم ابحث عن الموضوع متقصدا</t>
  </si>
  <si>
    <t xml:space="preserve">ان لا تكون طريق مختصر وسهل لانشاء النصوص بل وضع اللمسة الخاصة لبناء المشروع  مع الاخذ بطرق والمنهجيات كتابة الابحاث والمشاريع وما يشابها من اعمل </t>
  </si>
  <si>
    <t xml:space="preserve">نعم فهو يساعدة في ترتيب الافكار والاقتراحات وتعلم الصيغ الصحيحة لكتابة الابحاث والمشاريع دون الاعتماد الكلي عليها</t>
  </si>
  <si>
    <t xml:space="preserve">الموازنة بين استخدام مهاراتك و تطويرها و استخدام الذكاء الاصطناعي</t>
  </si>
  <si>
    <t xml:space="preserve">البحث عن طريقة عمل معظم الاشياء، البحث عن شرح مسائل معينة في مختلف المواد</t>
  </si>
  <si>
    <t xml:space="preserve">التفكير قبل استخدامهم لليكون دورهم المساعدة لا استبدال تفكيرنا بتفكيرهم</t>
  </si>
  <si>
    <t xml:space="preserve">استخدامها بطريقة ايجابية</t>
  </si>
  <si>
    <t xml:space="preserve">,</t>
  </si>
  <si>
    <t xml:space="preserve">دبلوم</t>
  </si>
  <si>
    <t xml:space="preserve">ما تخلي الاعتماد الكامل عليههم</t>
  </si>
  <si>
    <t xml:space="preserve">I personally believe that the person using AI tools should verify the answer given, because even the AI tool itself mentions that it can make mistakes, that’s number one.
Number two, you can always amend the personalization section and make the AI tool ask you questions at the same time so that you do not become fully reliant on the AI.</t>
  </si>
  <si>
    <t xml:space="preserve">Sometimes yes</t>
  </si>
  <si>
    <t xml:space="preserve">لا اعلم </t>
  </si>
  <si>
    <r>
      <rPr>
        <sz val="11"/>
        <color theme="1"/>
        <rFont val="FreeSans"/>
        <family val="2"/>
      </rPr>
      <t xml:space="preserve">نعم، تعلمت أن صياغة الأسئلة بشكل واضح ومحدد تساعد أدوات الذكاء الاصطناعي على إعطاء نتائج أفضل وأكثر دقة</t>
    </r>
    <r>
      <rPr>
        <sz val="11"/>
        <color theme="1"/>
        <rFont val="Calibri"/>
        <family val="2"/>
        <charset val="1"/>
      </rPr>
      <t xml:space="preserve">.</t>
    </r>
  </si>
  <si>
    <t xml:space="preserve">ChatGPT;Google Gemini;Claude</t>
  </si>
  <si>
    <t xml:space="preserve">فقط لعمل اختبارات ذاتية او شرح درس غير مفهوم</t>
  </si>
  <si>
    <r>
      <rPr>
        <sz val="11"/>
        <color theme="1"/>
        <rFont val="FreeSans"/>
        <family val="2"/>
      </rPr>
      <t xml:space="preserve">عدم الاعتماد عليه بشكل كلي واستخدام التحليل المعتمد على العقل اثناء استخدامه ليتم معرفة مدى صحة الاجابة التي يقوم بتقديمها</t>
    </r>
    <r>
      <rPr>
        <sz val="11"/>
        <color theme="1"/>
        <rFont val="Calibri"/>
        <family val="2"/>
        <charset val="1"/>
      </rPr>
      <t xml:space="preserve">. </t>
    </r>
  </si>
  <si>
    <t xml:space="preserve">التأكد من المصادر ومراجعة كل ما كتب في النص نظريا واذا كان هناك نقطة غير مفهومة إلى حد ما فالتفتيش عنها عن طريق الذكاء الاصطناعي او محركات البحث بشكل أعمق مفيد حتى تعرف الكثير عن الموضوع من جميع الجهات ثم كتابة ما عملته بطريقتك الخاصة </t>
  </si>
  <si>
    <t xml:space="preserve">تعليم كيفية استخدامها</t>
  </si>
  <si>
    <t xml:space="preserve">استخدامه بطريقه ذكيه</t>
  </si>
  <si>
    <t xml:space="preserve">التحاور مع الاداة وسؤالها عن كل معلومة</t>
  </si>
  <si>
    <t xml:space="preserve">استخدامه كوسيلة مساعدة وليس وسيلة حل جذرية </t>
  </si>
  <si>
    <r>
      <rPr>
        <sz val="11"/>
        <color theme="1"/>
        <rFont val="FreeSans"/>
        <family val="2"/>
      </rPr>
      <t xml:space="preserve">يساعد بالدراسة و </t>
    </r>
    <r>
      <rPr>
        <sz val="11"/>
        <color theme="1"/>
        <rFont val="Calibri"/>
        <family val="2"/>
        <charset val="1"/>
      </rPr>
      <t xml:space="preserve">make tasks less easier </t>
    </r>
  </si>
  <si>
    <t xml:space="preserve">Yed</t>
  </si>
  <si>
    <t xml:space="preserve">ChatGPT;Microsoft Copilot;Claude</t>
  </si>
  <si>
    <t xml:space="preserve">عدم الاعتماد على الذكاء الاصطناعي بشكل كبير </t>
  </si>
  <si>
    <t xml:space="preserve">إنشاء نصوص متعددة من ادوات مختلفة ثم المقارنة بينها</t>
  </si>
  <si>
    <t xml:space="preserve">لا تخليها تؤثر على ابداعك ، ولا تحط حد لتفكيرك وخيالك وعلمك</t>
  </si>
  <si>
    <t xml:space="preserve">Use it to only save time but always double check</t>
  </si>
  <si>
    <t xml:space="preserve"> </t>
  </si>
  <si>
    <t xml:space="preserve">دكتوراه</t>
  </si>
  <si>
    <t xml:space="preserve">Claude;Google Gemini</t>
  </si>
  <si>
    <t xml:space="preserve">Always check the information you get from reliable sources like journal articles and books. As well as checking it using different AI tools and not depending only on one.</t>
  </si>
  <si>
    <t xml:space="preserve">Yes, after using it I learned that it's better to tailor the task or the question, and input as much details as possible to guarantee the desired results.</t>
  </si>
  <si>
    <t xml:space="preserve">Use it after understanding the topic very well by yourself then use AI just to order your ideas</t>
  </si>
  <si>
    <t xml:space="preserve">Claude;Microsoft Copilot;Google Gemini;ChatGPT</t>
  </si>
  <si>
    <t xml:space="preserve">المحاوله في التفكير والاجتهاد الشخصي ومن ثم مراجعته مع الذكاء لاعطاء النصائح بعد الاستخدام </t>
  </si>
  <si>
    <t xml:space="preserve">always review and edit the generated text before using it</t>
  </si>
  <si>
    <t xml:space="preserve"> .</t>
  </si>
  <si>
    <t xml:space="preserve">استخدام الذكاء الصناعي بطريقة طرح أو الصياغة فقط ولكن ليس الاعتماد عليه بشكل كلي</t>
  </si>
  <si>
    <t xml:space="preserve">استخدامه للمساعدة وتطوير الأفكار وليس للغش</t>
  </si>
  <si>
    <r>
      <rPr>
        <sz val="11"/>
        <color theme="1"/>
        <rFont val="FreeSans"/>
        <family val="2"/>
      </rPr>
      <t xml:space="preserve">نعم، لأن صياغة السؤال بوضوح ودقة تساعد في الحصول على إجابات أفضل من أدوات الذكاء الاصطناعي</t>
    </r>
    <r>
      <rPr>
        <sz val="11"/>
        <color theme="1"/>
        <rFont val="Calibri"/>
        <family val="2"/>
        <charset val="1"/>
      </rPr>
      <t xml:space="preserve">.</t>
    </r>
  </si>
  <si>
    <t xml:space="preserve">...</t>
  </si>
  <si>
    <t xml:space="preserve"> ..</t>
  </si>
  <si>
    <r>
      <rPr>
        <sz val="11"/>
        <color theme="1"/>
        <rFont val="FreeSans"/>
        <family val="2"/>
      </rPr>
      <t xml:space="preserve">استخدامه بطريق تسهل علي البحث يعني انا شخصيا بستخدمه حتى يساعدني بترتيب الافكار وتسلسلها واكيد براجع المعلومات اللي بتطلعلي وبتاكد من المصادر ومن بعدها بقوم بصياغتها بطريقة تناسب متطلبات البحث او الواجب او الخ </t>
    </r>
    <r>
      <rPr>
        <sz val="11"/>
        <color theme="1"/>
        <rFont val="Calibri"/>
        <family val="2"/>
        <charset val="1"/>
      </rPr>
      <t xml:space="preserve">(</t>
    </r>
    <r>
      <rPr>
        <sz val="11"/>
        <color theme="1"/>
        <rFont val="FreeSans"/>
        <family val="2"/>
      </rPr>
      <t xml:space="preserve">ما لازم ناخد الاشي نسخ ولصق بدون ما نفهم لانه كتير احيانا المعلومات غلط</t>
    </r>
    <r>
      <rPr>
        <sz val="11"/>
        <color theme="1"/>
        <rFont val="Calibri"/>
        <family val="2"/>
        <charset val="1"/>
      </rPr>
      <t xml:space="preserve">)</t>
    </r>
  </si>
  <si>
    <t xml:space="preserve">استخدامها بطريقة فعالة </t>
  </si>
  <si>
    <t xml:space="preserve">ان يتم مراجعته كامل  والتأكد من المصادر</t>
  </si>
  <si>
    <t xml:space="preserve">عدم الاعتماد عليه بشكل كامل حتى لا يفقد الشخص مهارته في حل الامتحانات والواجبات </t>
  </si>
  <si>
    <t xml:space="preserve">be mean and not polite </t>
  </si>
  <si>
    <t xml:space="preserve">IMPORTANT: Drop_Class_Label is a RULE-BASED PROXY, not observed data.</t>
  </si>
  <si>
    <t xml:space="preserve">No respondent was asked whether they dropped a class. The label is derived from self-reported AI-use answers using the rules below.</t>
  </si>
  <si>
    <t xml:space="preserve">A model trained to predict this label from the same survey columns will mostly re-learn these rules.</t>
  </si>
  <si>
    <t xml:space="preserve">Rule</t>
  </si>
  <si>
    <t xml:space="preserve">Column</t>
  </si>
  <si>
    <t xml:space="preserve">Answer</t>
  </si>
  <si>
    <t xml:space="preserve">Points</t>
  </si>
  <si>
    <t xml:space="preserve">Analytical skills affected</t>
  </si>
  <si>
    <t xml:space="preserve">O</t>
  </si>
  <si>
    <t xml:space="preserve">Motivation</t>
  </si>
  <si>
    <t xml:space="preserve">Q</t>
  </si>
  <si>
    <t xml:space="preserve">Over-reliance on AI</t>
  </si>
  <si>
    <t xml:space="preserve">R</t>
  </si>
  <si>
    <t xml:space="preserve">Helps independent learning</t>
  </si>
  <si>
    <t xml:space="preserve">P</t>
  </si>
  <si>
    <t xml:space="preserve">AI use frequency for study</t>
  </si>
  <si>
    <t xml:space="preserve">M</t>
  </si>
  <si>
    <t xml:space="preserve">Submitted full project with AI</t>
  </si>
  <si>
    <t xml:space="preserve">T</t>
  </si>
  <si>
    <t xml:space="preserve">Reviews AI content</t>
  </si>
  <si>
    <t xml:space="preserve">U</t>
  </si>
  <si>
    <t xml:space="preserve">Used AI in in-class exam</t>
  </si>
  <si>
    <t xml:space="preserve">W</t>
  </si>
  <si>
    <t xml:space="preserve">Flagged by a professor</t>
  </si>
  <si>
    <t xml:space="preserve">Y</t>
  </si>
  <si>
    <t xml:space="preserve">Threshold (score &gt;= this → label 1)</t>
  </si>
  <si>
    <t xml:space="preserve">Max possible score</t>
  </si>
  <si>
    <t xml:space="preserve">Rows labeled 1</t>
  </si>
  <si>
    <t xml:space="preserve">Rows labeled 0</t>
  </si>
  <si>
    <t xml:space="preserve">Share labeled 1</t>
  </si>
</sst>
</file>

<file path=xl/styles.xml><?xml version="1.0" encoding="utf-8"?>
<styleSheet xmlns="http://schemas.openxmlformats.org/spreadsheetml/2006/main">
  <numFmts count="5">
    <numFmt numFmtId="164" formatCode="General"/>
    <numFmt numFmtId="165" formatCode="m/d/yyyy\ h:mm"/>
    <numFmt numFmtId="166" formatCode="General"/>
    <numFmt numFmtId="167" formatCode="@"/>
    <numFmt numFmtId="168" formatCode="0.0%"/>
  </numFmts>
  <fonts count="12">
    <font>
      <sz val="11"/>
      <color theme="1"/>
      <name val="Calibri"/>
      <family val="2"/>
      <charset val="1"/>
    </font>
    <font>
      <sz val="10"/>
      <name val="Arial"/>
      <family val="0"/>
    </font>
    <font>
      <sz val="10"/>
      <name val="Arial"/>
      <family val="0"/>
    </font>
    <font>
      <sz val="10"/>
      <name val="Arial"/>
      <family val="0"/>
    </font>
    <font>
      <sz val="11"/>
      <color theme="1"/>
      <name val="FreeSans"/>
      <family val="2"/>
    </font>
    <font>
      <b val="true"/>
      <sz val="11"/>
      <name val="Calibri"/>
      <family val="0"/>
      <charset val="1"/>
    </font>
    <font>
      <sz val="11"/>
      <name val="Calibri"/>
      <family val="0"/>
      <charset val="1"/>
    </font>
    <font>
      <b val="true"/>
      <sz val="11"/>
      <color rgb="FFC00000"/>
      <name val="Arial"/>
      <family val="0"/>
      <charset val="1"/>
    </font>
    <font>
      <sz val="11"/>
      <color rgb="FFC00000"/>
      <name val="Arial"/>
      <family val="0"/>
      <charset val="1"/>
    </font>
    <font>
      <sz val="11"/>
      <name val="Arial"/>
      <family val="0"/>
      <charset val="1"/>
    </font>
    <font>
      <b val="true"/>
      <sz val="11"/>
      <name val="Arial"/>
      <family val="0"/>
      <charset val="1"/>
    </font>
    <font>
      <b val="true"/>
      <sz val="11"/>
      <color rgb="FF0000FF"/>
      <name val="Arial"/>
      <family val="0"/>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OfficeForms.Table" displayName="OfficeForms.Table" ref="A1:AI184" headerRowCount="1" totalsRowCount="0" totalsRowShown="0">
  <autoFilter ref="A1:AI184"/>
  <tableColumns count="35">
    <tableColumn id="1" name="Id"/>
    <tableColumn id="2" name="وقت البدء"/>
    <tableColumn id="3" name="وقت الإكمال"/>
    <tableColumn id="4" name="البريد الإلكتروني"/>
    <tableColumn id="5" name="الاسم"/>
    <tableColumn id="6" name="ما هو جنسك؟&#10;"/>
    <tableColumn id="7" name="ما هو تخصصك؟"/>
    <tableColumn id="8" name="الدرجة الجامعية :&#10;"/>
    <tableColumn id="9" name="ما هي سنتك الدراسية؟"/>
    <tableColumn id="10" name="مكان السكن؟"/>
    <tableColumn id="11" name="&#10; جامعتك خاصة أم حكومية؟"/>
    <tableColumn id="12" name="هل سبق لك استخدام أدوات انشاء النصوص باستخدام الذكاء الاصطناعي؟"/>
    <tableColumn id="13" name="كم مدى استخدام أدوات انشاء النصوص باستخدام الذكاء الاصطناعي لأغراض الدراسية؟"/>
    <tableColumn id="14" name="هل تستخدم أدوات انشاء النصوص باستخدام الذكاء الاصطناعي كبديل للبحث التقليدي؟"/>
    <tableColumn id="15" name="هل تشعر أن مهاراتك التحليلية وقدرتك على حل المسائل تأثرت بسبب استخدام أدوات إنشاء النصوص باستخدام الذكاء الاصطناعي؟"/>
    <tableColumn id="16" name="هل تساعدك أدوات إنشاء النصوص باستخدام الذكاء الاصطناعي على التعلم بشكل مستقل؟&#10; "/>
    <tableColumn id="17" name="هل تقلل أدوات إنشاء النصوص باستخدام الذكاء الاصطناعي من دافعيتك للدراسة أم العكس؟&#10; "/>
    <tableColumn id="18" name="هل تشعر أنك تعتمد على أدوات انشاء النصوص باستخدام الذكاء الاصطناعي أكثر من اللازم بدلا عن التفكير بنفسك؟"/>
    <tableColumn id="19" name="هل تعتقد أن استخدام أدوات انشاء النصوص باستخدام الذكاء الاصطناعي في حل المشاريع /الواجبات يعتبر غشا؟"/>
    <tableColumn id="20" name="هل سبق لك تسليم مشروع كامل باستخدام أدوات انشاء النصوص باستخدام الذكاء الاصطناعي؟&#10; "/>
    <tableColumn id="21" name="هل تم مراجعة المحتوى ومراجع المحتوى بعد انشاءه؟"/>
    <tableColumn id="22" name="هل واجهت بعض الأخطاء في المحتوى؟"/>
    <tableColumn id="23" name="هل سبق لك استخدام أدوات انشاء النصوص باستخدام الذكاء الاصطناعي في حل الامتحانات داخل القاعة الجامعية؟"/>
    <tableColumn id="24" name="هل يوفر الذكاء الاصطناعي من وقتك أثناء الدراسة؟"/>
    <tableColumn id="25" name="هل سبق اتهامك او تنبيهك من قبل أحد الأساتذة بشأن استخدام أدوات انشاء النصوص باستخدام الذكاء الاصطناعي في واجب أو مشروع؟&#10;"/>
    <tableColumn id="26" name="بالإشارة إلى السؤال السابق، هل كان المدرس على حق؟"/>
    <tableColumn id="27" name="ما مدى معرفتك بكيفية عمل أدوات كشف استخدام أدوات انشاء النصوص باستخدام الذكاء الاصطناعي؟"/>
    <tableColumn id="28" name="هل تعتقد أن من السهل على الأساتذة اكتشاف استخدام أدوات انشاء النصوص باستخدام الذكاء الاصطناعي؟"/>
    <tableColumn id="29" name="ما هو أكثر أداة ذكاء اصطناعي تستخدمها؟"/>
    <tableColumn id="30" name="هل تعتقد أن أدوات انشاء النصوص باستخدام الذكاء الاصطناعي حسن من التعليم في الأعوام الماضية؟"/>
    <tableColumn id="31" name="هل تستخدم أدوات إنشاء النصوص باستخدام الذكاء الاصطناعي كبديل لمحركات البحث ( google, yahoo, etc) والبحث التقليدي في المراجع والكتب؟"/>
    <tableColumn id="32" name="ما هي النصائح لاستخدام أدوات إنشاء النصوص باستخدام الذكاء الاصطناعي بطريقة ايجابية؟"/>
    <tableColumn id="33" name="هل تعلمت أو بحثت في أفضل الطرق لصياغة الأسئلة لمواجهة لأدوات إنشاء النصوص باستخدام الذكاء الاصطناعي؟"/>
    <tableColumn id="34" name="Drop_Risk_Score"/>
    <tableColumn id="35" name="Drop_Class_Label (proxy: 1=drop, 0=n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33" min="1" style="0" width="20"/>
    <col collapsed="false" customWidth="true" hidden="false" outlineLevel="0" max="34" min="34" style="0" width="16"/>
    <col collapsed="false" customWidth="true" hidden="false" outlineLevel="0" max="35" min="35" style="0" width="34"/>
  </cols>
  <sheetData>
    <row r="1" customFormat="false" ht="28.35" hidden="false" customHeight="false" outlineLevel="0" collapsed="false">
      <c r="A1" s="1" t="s">
        <v>0</v>
      </c>
      <c r="B1" s="2" t="s">
        <v>1</v>
      </c>
      <c r="C1" s="2" t="s">
        <v>2</v>
      </c>
      <c r="D1" s="2" t="s">
        <v>3</v>
      </c>
      <c r="E1" s="2" t="s">
        <v>4</v>
      </c>
      <c r="F1" s="3" t="s">
        <v>5</v>
      </c>
      <c r="G1" s="2" t="s">
        <v>6</v>
      </c>
      <c r="H1" s="3" t="s">
        <v>7</v>
      </c>
      <c r="I1" s="2" t="s">
        <v>8</v>
      </c>
      <c r="J1" s="2" t="s">
        <v>9</v>
      </c>
      <c r="K1" s="4" t="s">
        <v>10</v>
      </c>
      <c r="L1" s="2" t="s">
        <v>11</v>
      </c>
      <c r="M1" s="2" t="s">
        <v>12</v>
      </c>
      <c r="N1" s="2" t="s">
        <v>13</v>
      </c>
      <c r="O1" s="2" t="s">
        <v>14</v>
      </c>
      <c r="P1" s="3" t="s">
        <v>15</v>
      </c>
      <c r="Q1" s="3" t="s">
        <v>16</v>
      </c>
      <c r="R1" s="2" t="s">
        <v>17</v>
      </c>
      <c r="S1" s="2" t="s">
        <v>18</v>
      </c>
      <c r="T1" s="3" t="s">
        <v>19</v>
      </c>
      <c r="U1" s="2" t="s">
        <v>20</v>
      </c>
      <c r="V1" s="2" t="s">
        <v>21</v>
      </c>
      <c r="W1" s="2" t="s">
        <v>22</v>
      </c>
      <c r="X1" s="2" t="s">
        <v>23</v>
      </c>
      <c r="Y1" s="3" t="s">
        <v>24</v>
      </c>
      <c r="Z1" s="2" t="s">
        <v>25</v>
      </c>
      <c r="AA1" s="2" t="s">
        <v>26</v>
      </c>
      <c r="AB1" s="2" t="s">
        <v>27</v>
      </c>
      <c r="AC1" s="2" t="s">
        <v>28</v>
      </c>
      <c r="AD1" s="2" t="s">
        <v>29</v>
      </c>
      <c r="AE1" s="2" t="s">
        <v>30</v>
      </c>
      <c r="AF1" s="2" t="s">
        <v>31</v>
      </c>
      <c r="AG1" s="2" t="s">
        <v>32</v>
      </c>
      <c r="AH1" s="5" t="s">
        <v>33</v>
      </c>
      <c r="AI1" s="5" t="s">
        <v>34</v>
      </c>
    </row>
    <row r="2" customFormat="false" ht="14.25" hidden="false" customHeight="false" outlineLevel="0" collapsed="false">
      <c r="A2" s="0" t="n">
        <v>1</v>
      </c>
      <c r="B2" s="6" t="n">
        <v>46158.7567824074</v>
      </c>
      <c r="C2" s="6" t="n">
        <v>46158.7643171296</v>
      </c>
      <c r="D2" s="1" t="s">
        <v>35</v>
      </c>
      <c r="F2" s="2" t="s">
        <v>36</v>
      </c>
      <c r="G2" s="2" t="s">
        <v>37</v>
      </c>
      <c r="H2" s="2" t="s">
        <v>38</v>
      </c>
      <c r="I2" s="2" t="s">
        <v>39</v>
      </c>
      <c r="J2" s="2" t="s">
        <v>40</v>
      </c>
      <c r="K2" s="2" t="s">
        <v>41</v>
      </c>
      <c r="L2" s="2" t="s">
        <v>42</v>
      </c>
      <c r="M2" s="2" t="s">
        <v>43</v>
      </c>
      <c r="N2" s="2" t="s">
        <v>44</v>
      </c>
      <c r="O2" s="2" t="s">
        <v>45</v>
      </c>
      <c r="P2" s="2" t="s">
        <v>42</v>
      </c>
      <c r="Q2" s="2" t="s">
        <v>46</v>
      </c>
      <c r="R2" s="2" t="s">
        <v>42</v>
      </c>
      <c r="S2" s="2" t="s">
        <v>47</v>
      </c>
      <c r="T2" s="2" t="s">
        <v>48</v>
      </c>
      <c r="U2" s="2" t="s">
        <v>49</v>
      </c>
      <c r="V2" s="2" t="s">
        <v>49</v>
      </c>
      <c r="W2" s="2" t="s">
        <v>48</v>
      </c>
      <c r="X2" s="2" t="s">
        <v>48</v>
      </c>
      <c r="Y2" s="2" t="s">
        <v>48</v>
      </c>
      <c r="Z2" s="2" t="s">
        <v>50</v>
      </c>
      <c r="AA2" s="2" t="s">
        <v>51</v>
      </c>
      <c r="AB2" s="2" t="s">
        <v>49</v>
      </c>
      <c r="AC2" s="1" t="s">
        <v>52</v>
      </c>
      <c r="AD2" s="2" t="s">
        <v>48</v>
      </c>
      <c r="AE2" s="2" t="s">
        <v>44</v>
      </c>
      <c r="AF2" s="2" t="s">
        <v>53</v>
      </c>
      <c r="AG2" s="2" t="s">
        <v>54</v>
      </c>
      <c r="AH2" s="7" t="n">
        <f aca="false">(O2='Labeling Rules'!$C$6)*'Labeling Rules'!$D$6+(Q2='Labeling Rules'!$C$7)*'Labeling Rules'!$D$7+(R2='Labeling Rules'!$C$8)*'Labeling Rules'!$D$8+(R2='Labeling Rules'!$C$9)*'Labeling Rules'!$D$9+(P2='Labeling Rules'!$C$10)*'Labeling Rules'!$D$10+(M2='Labeling Rules'!$C$11)*'Labeling Rules'!$D$11+(T2='Labeling Rules'!$C$12)*'Labeling Rules'!$D$12+(U2='Labeling Rules'!$C$13)*'Labeling Rules'!$D$13+(W2='Labeling Rules'!$C$14)*'Labeling Rules'!$D$14+(Y2='Labeling Rules'!$C$15)*'Labeling Rules'!$D$15</f>
        <v>4</v>
      </c>
      <c r="AI2" s="7" t="n">
        <f aca="false">IF(AH2&gt;='Labeling Rules'!$D$17,1,0)</f>
        <v>0</v>
      </c>
    </row>
    <row r="3" customFormat="false" ht="14.25" hidden="false" customHeight="false" outlineLevel="0" collapsed="false">
      <c r="A3" s="0" t="n">
        <v>2</v>
      </c>
      <c r="B3" s="6" t="n">
        <v>46158.8798611111</v>
      </c>
      <c r="C3" s="6" t="n">
        <v>46158.8817708333</v>
      </c>
      <c r="D3" s="1" t="s">
        <v>35</v>
      </c>
      <c r="F3" s="2" t="s">
        <v>36</v>
      </c>
      <c r="G3" s="2" t="s">
        <v>37</v>
      </c>
      <c r="H3" s="2" t="s">
        <v>38</v>
      </c>
      <c r="I3" s="2" t="s">
        <v>55</v>
      </c>
      <c r="J3" s="2" t="s">
        <v>56</v>
      </c>
      <c r="K3" s="2" t="s">
        <v>41</v>
      </c>
      <c r="L3" s="2" t="s">
        <v>42</v>
      </c>
      <c r="M3" s="2" t="s">
        <v>43</v>
      </c>
      <c r="N3" s="2" t="s">
        <v>44</v>
      </c>
      <c r="O3" s="2" t="s">
        <v>57</v>
      </c>
      <c r="P3" s="2" t="s">
        <v>42</v>
      </c>
      <c r="Q3" s="2" t="s">
        <v>58</v>
      </c>
      <c r="R3" s="2" t="s">
        <v>42</v>
      </c>
      <c r="S3" s="2" t="s">
        <v>47</v>
      </c>
      <c r="T3" s="2" t="s">
        <v>48</v>
      </c>
      <c r="U3" s="2" t="s">
        <v>44</v>
      </c>
      <c r="V3" s="2" t="s">
        <v>49</v>
      </c>
      <c r="W3" s="2" t="s">
        <v>48</v>
      </c>
      <c r="X3" s="2" t="s">
        <v>59</v>
      </c>
      <c r="Y3" s="2" t="s">
        <v>48</v>
      </c>
      <c r="Z3" s="2" t="s">
        <v>50</v>
      </c>
      <c r="AA3" s="2" t="s">
        <v>60</v>
      </c>
      <c r="AB3" s="2" t="s">
        <v>42</v>
      </c>
      <c r="AC3" s="1" t="s">
        <v>61</v>
      </c>
      <c r="AD3" s="2" t="s">
        <v>42</v>
      </c>
      <c r="AE3" s="2" t="s">
        <v>49</v>
      </c>
      <c r="AF3" s="1" t="s">
        <v>62</v>
      </c>
      <c r="AG3" s="1" t="s">
        <v>62</v>
      </c>
      <c r="AH3" s="7" t="n">
        <f aca="false">(O3='Labeling Rules'!$C$6)*'Labeling Rules'!$D$6+(Q3='Labeling Rules'!$C$7)*'Labeling Rules'!$D$7+(R3='Labeling Rules'!$C$8)*'Labeling Rules'!$D$8+(R3='Labeling Rules'!$C$9)*'Labeling Rules'!$D$9+(P3='Labeling Rules'!$C$10)*'Labeling Rules'!$D$10+(M3='Labeling Rules'!$C$11)*'Labeling Rules'!$D$11+(T3='Labeling Rules'!$C$12)*'Labeling Rules'!$D$12+(U3='Labeling Rules'!$C$13)*'Labeling Rules'!$D$13+(W3='Labeling Rules'!$C$14)*'Labeling Rules'!$D$14+(Y3='Labeling Rules'!$C$15)*'Labeling Rules'!$D$15</f>
        <v>2</v>
      </c>
      <c r="AI3" s="7" t="n">
        <f aca="false">IF(AH3&gt;='Labeling Rules'!$D$17,1,0)</f>
        <v>0</v>
      </c>
    </row>
    <row r="4" customFormat="false" ht="14.25" hidden="false" customHeight="false" outlineLevel="0" collapsed="false">
      <c r="A4" s="0" t="n">
        <v>3</v>
      </c>
      <c r="B4" s="6" t="n">
        <v>46158.8803472222</v>
      </c>
      <c r="C4" s="6" t="n">
        <v>46158.8839351852</v>
      </c>
      <c r="D4" s="1" t="s">
        <v>35</v>
      </c>
      <c r="F4" s="2" t="s">
        <v>63</v>
      </c>
      <c r="G4" s="2" t="s">
        <v>37</v>
      </c>
      <c r="H4" s="2" t="s">
        <v>38</v>
      </c>
      <c r="I4" s="2" t="s">
        <v>64</v>
      </c>
      <c r="J4" s="2" t="s">
        <v>65</v>
      </c>
      <c r="K4" s="2" t="s">
        <v>41</v>
      </c>
      <c r="L4" s="2" t="s">
        <v>42</v>
      </c>
      <c r="M4" s="2" t="s">
        <v>44</v>
      </c>
      <c r="N4" s="2" t="s">
        <v>43</v>
      </c>
      <c r="O4" s="2" t="s">
        <v>66</v>
      </c>
      <c r="P4" s="2" t="s">
        <v>42</v>
      </c>
      <c r="Q4" s="2" t="s">
        <v>46</v>
      </c>
      <c r="R4" s="2" t="s">
        <v>48</v>
      </c>
      <c r="S4" s="2" t="s">
        <v>47</v>
      </c>
      <c r="T4" s="2" t="s">
        <v>48</v>
      </c>
      <c r="U4" s="2" t="s">
        <v>44</v>
      </c>
      <c r="V4" s="2" t="s">
        <v>49</v>
      </c>
      <c r="W4" s="2" t="s">
        <v>48</v>
      </c>
      <c r="X4" s="2" t="s">
        <v>59</v>
      </c>
      <c r="Y4" s="2" t="s">
        <v>48</v>
      </c>
      <c r="Z4" s="2" t="s">
        <v>50</v>
      </c>
      <c r="AA4" s="2" t="s">
        <v>67</v>
      </c>
      <c r="AB4" s="2" t="s">
        <v>49</v>
      </c>
      <c r="AC4" s="1" t="s">
        <v>68</v>
      </c>
      <c r="AD4" s="2" t="s">
        <v>42</v>
      </c>
      <c r="AE4" s="2" t="s">
        <v>49</v>
      </c>
      <c r="AF4" s="1" t="s">
        <v>62</v>
      </c>
      <c r="AG4" s="1" t="s">
        <v>62</v>
      </c>
      <c r="AH4" s="7" t="n">
        <f aca="false">(O4='Labeling Rules'!$C$6)*'Labeling Rules'!$D$6+(Q4='Labeling Rules'!$C$7)*'Labeling Rules'!$D$7+(R4='Labeling Rules'!$C$8)*'Labeling Rules'!$D$8+(R4='Labeling Rules'!$C$9)*'Labeling Rules'!$D$9+(P4='Labeling Rules'!$C$10)*'Labeling Rules'!$D$10+(M4='Labeling Rules'!$C$11)*'Labeling Rules'!$D$11+(T4='Labeling Rules'!$C$12)*'Labeling Rules'!$D$12+(U4='Labeling Rules'!$C$13)*'Labeling Rules'!$D$13+(W4='Labeling Rules'!$C$14)*'Labeling Rules'!$D$14+(Y4='Labeling Rules'!$C$15)*'Labeling Rules'!$D$15</f>
        <v>1</v>
      </c>
      <c r="AI4" s="7" t="n">
        <f aca="false">IF(AH4&gt;='Labeling Rules'!$D$17,1,0)</f>
        <v>0</v>
      </c>
    </row>
    <row r="5" customFormat="false" ht="14.25" hidden="false" customHeight="false" outlineLevel="0" collapsed="false">
      <c r="A5" s="0" t="n">
        <v>4</v>
      </c>
      <c r="B5" s="6" t="n">
        <v>46158.8819560185</v>
      </c>
      <c r="C5" s="6" t="n">
        <v>46158.884224537</v>
      </c>
      <c r="D5" s="1" t="s">
        <v>35</v>
      </c>
      <c r="F5" s="2" t="s">
        <v>63</v>
      </c>
      <c r="G5" s="2" t="s">
        <v>69</v>
      </c>
      <c r="H5" s="2" t="s">
        <v>38</v>
      </c>
      <c r="I5" s="2" t="s">
        <v>64</v>
      </c>
      <c r="J5" s="2" t="s">
        <v>56</v>
      </c>
      <c r="K5" s="2" t="s">
        <v>41</v>
      </c>
      <c r="L5" s="2" t="s">
        <v>42</v>
      </c>
      <c r="M5" s="2" t="s">
        <v>44</v>
      </c>
      <c r="N5" s="2" t="s">
        <v>43</v>
      </c>
      <c r="O5" s="2" t="s">
        <v>66</v>
      </c>
      <c r="P5" s="2" t="s">
        <v>42</v>
      </c>
      <c r="Q5" s="2" t="s">
        <v>58</v>
      </c>
      <c r="R5" s="2" t="s">
        <v>49</v>
      </c>
      <c r="S5" s="2" t="s">
        <v>47</v>
      </c>
      <c r="T5" s="2" t="s">
        <v>42</v>
      </c>
      <c r="U5" s="2" t="s">
        <v>49</v>
      </c>
      <c r="V5" s="2" t="s">
        <v>49</v>
      </c>
      <c r="W5" s="2" t="s">
        <v>48</v>
      </c>
      <c r="X5" s="2" t="s">
        <v>59</v>
      </c>
      <c r="Y5" s="2" t="s">
        <v>42</v>
      </c>
      <c r="Z5" s="2" t="s">
        <v>42</v>
      </c>
      <c r="AA5" s="2" t="s">
        <v>60</v>
      </c>
      <c r="AB5" s="2" t="s">
        <v>42</v>
      </c>
      <c r="AC5" s="1" t="s">
        <v>70</v>
      </c>
      <c r="AD5" s="2" t="s">
        <v>42</v>
      </c>
      <c r="AE5" s="2" t="s">
        <v>49</v>
      </c>
      <c r="AF5" s="2" t="s">
        <v>71</v>
      </c>
      <c r="AG5" s="2" t="s">
        <v>72</v>
      </c>
      <c r="AH5" s="7" t="n">
        <f aca="false">(O5='Labeling Rules'!$C$6)*'Labeling Rules'!$D$6+(Q5='Labeling Rules'!$C$7)*'Labeling Rules'!$D$7+(R5='Labeling Rules'!$C$8)*'Labeling Rules'!$D$8+(R5='Labeling Rules'!$C$9)*'Labeling Rules'!$D$9+(P5='Labeling Rules'!$C$10)*'Labeling Rules'!$D$10+(M5='Labeling Rules'!$C$11)*'Labeling Rules'!$D$11+(T5='Labeling Rules'!$C$12)*'Labeling Rules'!$D$12+(U5='Labeling Rules'!$C$13)*'Labeling Rules'!$D$13+(W5='Labeling Rules'!$C$14)*'Labeling Rules'!$D$14+(Y5='Labeling Rules'!$C$15)*'Labeling Rules'!$D$15</f>
        <v>4</v>
      </c>
      <c r="AI5" s="7" t="n">
        <f aca="false">IF(AH5&gt;='Labeling Rules'!$D$17,1,0)</f>
        <v>0</v>
      </c>
    </row>
    <row r="6" customFormat="false" ht="14.25" hidden="false" customHeight="false" outlineLevel="0" collapsed="false">
      <c r="A6" s="0" t="n">
        <v>5</v>
      </c>
      <c r="B6" s="6" t="n">
        <v>46158.8807291667</v>
      </c>
      <c r="C6" s="6" t="n">
        <v>46158.8842476852</v>
      </c>
      <c r="D6" s="1" t="s">
        <v>35</v>
      </c>
      <c r="F6" s="2" t="s">
        <v>36</v>
      </c>
      <c r="G6" s="2" t="s">
        <v>73</v>
      </c>
      <c r="H6" s="2" t="s">
        <v>38</v>
      </c>
      <c r="I6" s="2" t="s">
        <v>64</v>
      </c>
      <c r="J6" s="2" t="s">
        <v>56</v>
      </c>
      <c r="K6" s="2" t="s">
        <v>41</v>
      </c>
      <c r="L6" s="2" t="s">
        <v>42</v>
      </c>
      <c r="M6" s="2" t="s">
        <v>74</v>
      </c>
      <c r="N6" s="2" t="s">
        <v>75</v>
      </c>
      <c r="O6" s="2" t="s">
        <v>57</v>
      </c>
      <c r="P6" s="2" t="s">
        <v>76</v>
      </c>
      <c r="Q6" s="2" t="s">
        <v>46</v>
      </c>
      <c r="R6" s="2" t="s">
        <v>48</v>
      </c>
      <c r="S6" s="2" t="s">
        <v>42</v>
      </c>
      <c r="T6" s="2" t="s">
        <v>48</v>
      </c>
      <c r="U6" s="2" t="s">
        <v>44</v>
      </c>
      <c r="V6" s="2" t="s">
        <v>49</v>
      </c>
      <c r="W6" s="2" t="s">
        <v>48</v>
      </c>
      <c r="X6" s="2" t="s">
        <v>76</v>
      </c>
      <c r="Y6" s="2" t="s">
        <v>48</v>
      </c>
      <c r="Z6" s="2" t="s">
        <v>50</v>
      </c>
      <c r="AA6" s="2" t="s">
        <v>77</v>
      </c>
      <c r="AB6" s="2" t="s">
        <v>42</v>
      </c>
      <c r="AC6" s="1" t="s">
        <v>78</v>
      </c>
      <c r="AD6" s="2" t="s">
        <v>48</v>
      </c>
      <c r="AE6" s="2" t="s">
        <v>74</v>
      </c>
      <c r="AF6" s="2" t="s">
        <v>79</v>
      </c>
      <c r="AG6" s="2" t="s">
        <v>48</v>
      </c>
      <c r="AH6" s="7" t="n">
        <f aca="false">(O6='Labeling Rules'!$C$6)*'Labeling Rules'!$D$6+(Q6='Labeling Rules'!$C$7)*'Labeling Rules'!$D$7+(R6='Labeling Rules'!$C$8)*'Labeling Rules'!$D$8+(R6='Labeling Rules'!$C$9)*'Labeling Rules'!$D$9+(P6='Labeling Rules'!$C$10)*'Labeling Rules'!$D$10+(M6='Labeling Rules'!$C$11)*'Labeling Rules'!$D$11+(T6='Labeling Rules'!$C$12)*'Labeling Rules'!$D$12+(U6='Labeling Rules'!$C$13)*'Labeling Rules'!$D$13+(W6='Labeling Rules'!$C$14)*'Labeling Rules'!$D$14+(Y6='Labeling Rules'!$C$15)*'Labeling Rules'!$D$15</f>
        <v>0</v>
      </c>
      <c r="AI6" s="7" t="n">
        <f aca="false">IF(AH6&gt;='Labeling Rules'!$D$17,1,0)</f>
        <v>0</v>
      </c>
    </row>
    <row r="7" customFormat="false" ht="14.25" hidden="false" customHeight="false" outlineLevel="0" collapsed="false">
      <c r="A7" s="0" t="n">
        <v>6</v>
      </c>
      <c r="B7" s="6" t="n">
        <v>46158.8816203704</v>
      </c>
      <c r="C7" s="6" t="n">
        <v>46158.8848611111</v>
      </c>
      <c r="D7" s="1" t="s">
        <v>35</v>
      </c>
      <c r="F7" s="2" t="s">
        <v>36</v>
      </c>
      <c r="G7" s="2" t="s">
        <v>73</v>
      </c>
      <c r="H7" s="2" t="s">
        <v>38</v>
      </c>
      <c r="I7" s="2" t="s">
        <v>80</v>
      </c>
      <c r="J7" s="2" t="s">
        <v>56</v>
      </c>
      <c r="K7" s="2" t="s">
        <v>41</v>
      </c>
      <c r="L7" s="2" t="s">
        <v>42</v>
      </c>
      <c r="M7" s="2" t="s">
        <v>74</v>
      </c>
      <c r="N7" s="2" t="s">
        <v>44</v>
      </c>
      <c r="O7" s="2" t="s">
        <v>45</v>
      </c>
      <c r="P7" s="2" t="s">
        <v>76</v>
      </c>
      <c r="Q7" s="2" t="s">
        <v>81</v>
      </c>
      <c r="R7" s="2" t="s">
        <v>49</v>
      </c>
      <c r="S7" s="2" t="s">
        <v>48</v>
      </c>
      <c r="T7" s="2" t="s">
        <v>48</v>
      </c>
      <c r="U7" s="2" t="s">
        <v>49</v>
      </c>
      <c r="V7" s="2" t="s">
        <v>82</v>
      </c>
      <c r="W7" s="2" t="s">
        <v>48</v>
      </c>
      <c r="X7" s="2" t="s">
        <v>59</v>
      </c>
      <c r="Y7" s="2" t="s">
        <v>42</v>
      </c>
      <c r="Z7" s="2" t="s">
        <v>83</v>
      </c>
      <c r="AA7" s="2" t="s">
        <v>67</v>
      </c>
      <c r="AB7" s="2" t="s">
        <v>49</v>
      </c>
      <c r="AC7" s="1" t="s">
        <v>84</v>
      </c>
      <c r="AD7" s="2" t="s">
        <v>76</v>
      </c>
      <c r="AE7" s="2" t="s">
        <v>49</v>
      </c>
      <c r="AF7" s="2" t="s">
        <v>85</v>
      </c>
      <c r="AG7" s="2" t="s">
        <v>86</v>
      </c>
      <c r="AH7" s="7" t="n">
        <f aca="false">(O7='Labeling Rules'!$C$6)*'Labeling Rules'!$D$6+(Q7='Labeling Rules'!$C$7)*'Labeling Rules'!$D$7+(R7='Labeling Rules'!$C$8)*'Labeling Rules'!$D$8+(R7='Labeling Rules'!$C$9)*'Labeling Rules'!$D$9+(P7='Labeling Rules'!$C$10)*'Labeling Rules'!$D$10+(M7='Labeling Rules'!$C$11)*'Labeling Rules'!$D$11+(T7='Labeling Rules'!$C$12)*'Labeling Rules'!$D$12+(U7='Labeling Rules'!$C$13)*'Labeling Rules'!$D$13+(W7='Labeling Rules'!$C$14)*'Labeling Rules'!$D$14+(Y7='Labeling Rules'!$C$15)*'Labeling Rules'!$D$15</f>
        <v>6</v>
      </c>
      <c r="AI7" s="7" t="n">
        <f aca="false">IF(AH7&gt;='Labeling Rules'!$D$17,1,0)</f>
        <v>1</v>
      </c>
    </row>
    <row r="8" customFormat="false" ht="14.25" hidden="false" customHeight="false" outlineLevel="0" collapsed="false">
      <c r="A8" s="0" t="n">
        <v>7</v>
      </c>
      <c r="B8" s="6" t="n">
        <v>46158.8819212963</v>
      </c>
      <c r="C8" s="6" t="n">
        <v>46158.8854282407</v>
      </c>
      <c r="D8" s="1" t="s">
        <v>35</v>
      </c>
      <c r="F8" s="2" t="s">
        <v>63</v>
      </c>
      <c r="G8" s="2" t="s">
        <v>69</v>
      </c>
      <c r="H8" s="2" t="s">
        <v>38</v>
      </c>
      <c r="I8" s="2" t="s">
        <v>64</v>
      </c>
      <c r="J8" s="2" t="s">
        <v>56</v>
      </c>
      <c r="K8" s="2" t="s">
        <v>41</v>
      </c>
      <c r="L8" s="2" t="s">
        <v>42</v>
      </c>
      <c r="M8" s="2" t="s">
        <v>44</v>
      </c>
      <c r="N8" s="2" t="s">
        <v>44</v>
      </c>
      <c r="O8" s="2" t="s">
        <v>66</v>
      </c>
      <c r="P8" s="2" t="s">
        <v>42</v>
      </c>
      <c r="Q8" s="2" t="s">
        <v>58</v>
      </c>
      <c r="R8" s="2" t="s">
        <v>42</v>
      </c>
      <c r="S8" s="2" t="s">
        <v>42</v>
      </c>
      <c r="T8" s="2" t="s">
        <v>42</v>
      </c>
      <c r="U8" s="2" t="s">
        <v>44</v>
      </c>
      <c r="V8" s="2" t="s">
        <v>82</v>
      </c>
      <c r="W8" s="2" t="s">
        <v>42</v>
      </c>
      <c r="X8" s="2" t="s">
        <v>59</v>
      </c>
      <c r="Y8" s="2" t="s">
        <v>42</v>
      </c>
      <c r="Z8" s="2" t="s">
        <v>42</v>
      </c>
      <c r="AA8" s="2" t="s">
        <v>60</v>
      </c>
      <c r="AB8" s="2" t="s">
        <v>42</v>
      </c>
      <c r="AC8" s="1" t="s">
        <v>87</v>
      </c>
      <c r="AD8" s="2" t="s">
        <v>42</v>
      </c>
      <c r="AE8" s="2" t="s">
        <v>44</v>
      </c>
      <c r="AF8" s="2" t="s">
        <v>88</v>
      </c>
      <c r="AG8" s="2" t="s">
        <v>48</v>
      </c>
      <c r="AH8" s="7" t="n">
        <f aca="false">(O8='Labeling Rules'!$C$6)*'Labeling Rules'!$D$6+(Q8='Labeling Rules'!$C$7)*'Labeling Rules'!$D$7+(R8='Labeling Rules'!$C$8)*'Labeling Rules'!$D$8+(R8='Labeling Rules'!$C$9)*'Labeling Rules'!$D$9+(P8='Labeling Rules'!$C$10)*'Labeling Rules'!$D$10+(M8='Labeling Rules'!$C$11)*'Labeling Rules'!$D$11+(T8='Labeling Rules'!$C$12)*'Labeling Rules'!$D$12+(U8='Labeling Rules'!$C$13)*'Labeling Rules'!$D$13+(W8='Labeling Rules'!$C$14)*'Labeling Rules'!$D$14+(Y8='Labeling Rules'!$C$15)*'Labeling Rules'!$D$15</f>
        <v>6</v>
      </c>
      <c r="AI8" s="7" t="n">
        <f aca="false">IF(AH8&gt;='Labeling Rules'!$D$17,1,0)</f>
        <v>1</v>
      </c>
    </row>
    <row r="9" customFormat="false" ht="14.25" hidden="false" customHeight="false" outlineLevel="0" collapsed="false">
      <c r="A9" s="0" t="n">
        <v>8</v>
      </c>
      <c r="B9" s="6" t="n">
        <v>46158.884375</v>
      </c>
      <c r="C9" s="6" t="n">
        <v>46158.8861458333</v>
      </c>
      <c r="D9" s="1" t="s">
        <v>35</v>
      </c>
      <c r="F9" s="2" t="s">
        <v>63</v>
      </c>
      <c r="G9" s="2" t="s">
        <v>37</v>
      </c>
      <c r="H9" s="2" t="s">
        <v>38</v>
      </c>
      <c r="I9" s="2" t="s">
        <v>64</v>
      </c>
      <c r="J9" s="2" t="s">
        <v>56</v>
      </c>
      <c r="K9" s="2" t="s">
        <v>41</v>
      </c>
      <c r="L9" s="2" t="s">
        <v>42</v>
      </c>
      <c r="M9" s="2" t="s">
        <v>43</v>
      </c>
      <c r="N9" s="2" t="s">
        <v>43</v>
      </c>
      <c r="O9" s="2" t="s">
        <v>45</v>
      </c>
      <c r="P9" s="2" t="s">
        <v>76</v>
      </c>
      <c r="Q9" s="2" t="s">
        <v>58</v>
      </c>
      <c r="R9" s="2" t="s">
        <v>42</v>
      </c>
      <c r="S9" s="2" t="s">
        <v>47</v>
      </c>
      <c r="T9" s="2" t="s">
        <v>42</v>
      </c>
      <c r="U9" s="2" t="s">
        <v>49</v>
      </c>
      <c r="V9" s="2" t="s">
        <v>49</v>
      </c>
      <c r="W9" s="2" t="s">
        <v>48</v>
      </c>
      <c r="X9" s="2" t="s">
        <v>59</v>
      </c>
      <c r="Y9" s="2" t="s">
        <v>42</v>
      </c>
      <c r="Z9" s="2" t="s">
        <v>83</v>
      </c>
      <c r="AA9" s="2" t="s">
        <v>77</v>
      </c>
      <c r="AB9" s="2" t="s">
        <v>42</v>
      </c>
      <c r="AC9" s="1" t="s">
        <v>68</v>
      </c>
      <c r="AD9" s="2" t="s">
        <v>76</v>
      </c>
      <c r="AE9" s="2" t="s">
        <v>49</v>
      </c>
      <c r="AF9" s="2" t="s">
        <v>89</v>
      </c>
      <c r="AG9" s="2" t="s">
        <v>48</v>
      </c>
      <c r="AH9" s="7" t="n">
        <f aca="false">(O9='Labeling Rules'!$C$6)*'Labeling Rules'!$D$6+(Q9='Labeling Rules'!$C$7)*'Labeling Rules'!$D$7+(R9='Labeling Rules'!$C$8)*'Labeling Rules'!$D$8+(R9='Labeling Rules'!$C$9)*'Labeling Rules'!$D$9+(P9='Labeling Rules'!$C$10)*'Labeling Rules'!$D$10+(M9='Labeling Rules'!$C$11)*'Labeling Rules'!$D$11+(T9='Labeling Rules'!$C$12)*'Labeling Rules'!$D$12+(U9='Labeling Rules'!$C$13)*'Labeling Rules'!$D$13+(W9='Labeling Rules'!$C$14)*'Labeling Rules'!$D$14+(Y9='Labeling Rules'!$C$15)*'Labeling Rules'!$D$15</f>
        <v>6</v>
      </c>
      <c r="AI9" s="7" t="n">
        <f aca="false">IF(AH9&gt;='Labeling Rules'!$D$17,1,0)</f>
        <v>1</v>
      </c>
    </row>
    <row r="10" customFormat="false" ht="14.25" hidden="false" customHeight="false" outlineLevel="0" collapsed="false">
      <c r="A10" s="0" t="n">
        <v>9</v>
      </c>
      <c r="B10" s="6" t="n">
        <v>46158.8845717593</v>
      </c>
      <c r="C10" s="6" t="n">
        <v>46158.886724537</v>
      </c>
      <c r="D10" s="1" t="s">
        <v>35</v>
      </c>
      <c r="F10" s="2" t="s">
        <v>36</v>
      </c>
      <c r="G10" s="2" t="s">
        <v>69</v>
      </c>
      <c r="H10" s="2" t="s">
        <v>38</v>
      </c>
      <c r="I10" s="2" t="s">
        <v>64</v>
      </c>
      <c r="J10" s="2" t="s">
        <v>56</v>
      </c>
      <c r="K10" s="2" t="s">
        <v>41</v>
      </c>
      <c r="L10" s="2" t="s">
        <v>42</v>
      </c>
      <c r="M10" s="2" t="s">
        <v>43</v>
      </c>
      <c r="N10" s="2" t="s">
        <v>75</v>
      </c>
      <c r="O10" s="2" t="s">
        <v>57</v>
      </c>
      <c r="P10" s="2" t="s">
        <v>76</v>
      </c>
      <c r="Q10" s="2" t="s">
        <v>46</v>
      </c>
      <c r="R10" s="2" t="s">
        <v>48</v>
      </c>
      <c r="S10" s="2" t="s">
        <v>47</v>
      </c>
      <c r="T10" s="2" t="s">
        <v>48</v>
      </c>
      <c r="U10" s="2" t="s">
        <v>44</v>
      </c>
      <c r="V10" s="2" t="s">
        <v>49</v>
      </c>
      <c r="W10" s="2" t="s">
        <v>48</v>
      </c>
      <c r="X10" s="2" t="s">
        <v>76</v>
      </c>
      <c r="Y10" s="2" t="s">
        <v>48</v>
      </c>
      <c r="Z10" s="2" t="s">
        <v>50</v>
      </c>
      <c r="AA10" s="2" t="s">
        <v>77</v>
      </c>
      <c r="AB10" s="2" t="s">
        <v>49</v>
      </c>
      <c r="AC10" s="1" t="s">
        <v>78</v>
      </c>
      <c r="AD10" s="2" t="s">
        <v>48</v>
      </c>
      <c r="AE10" s="2" t="s">
        <v>75</v>
      </c>
      <c r="AF10" s="2" t="s">
        <v>90</v>
      </c>
      <c r="AG10" s="2" t="s">
        <v>91</v>
      </c>
      <c r="AH10" s="7" t="n">
        <f aca="false">(O10='Labeling Rules'!$C$6)*'Labeling Rules'!$D$6+(Q10='Labeling Rules'!$C$7)*'Labeling Rules'!$D$7+(R10='Labeling Rules'!$C$8)*'Labeling Rules'!$D$8+(R10='Labeling Rules'!$C$9)*'Labeling Rules'!$D$9+(P10='Labeling Rules'!$C$10)*'Labeling Rules'!$D$10+(M10='Labeling Rules'!$C$11)*'Labeling Rules'!$D$11+(T10='Labeling Rules'!$C$12)*'Labeling Rules'!$D$12+(U10='Labeling Rules'!$C$13)*'Labeling Rules'!$D$13+(W10='Labeling Rules'!$C$14)*'Labeling Rules'!$D$14+(Y10='Labeling Rules'!$C$15)*'Labeling Rules'!$D$15</f>
        <v>0</v>
      </c>
      <c r="AI10" s="7" t="n">
        <f aca="false">IF(AH10&gt;='Labeling Rules'!$D$17,1,0)</f>
        <v>0</v>
      </c>
    </row>
    <row r="11" customFormat="false" ht="14.25" hidden="false" customHeight="false" outlineLevel="0" collapsed="false">
      <c r="A11" s="0" t="n">
        <v>10</v>
      </c>
      <c r="B11" s="6" t="n">
        <v>46158.8865509259</v>
      </c>
      <c r="C11" s="6" t="n">
        <v>46158.8883912037</v>
      </c>
      <c r="D11" s="1" t="s">
        <v>35</v>
      </c>
      <c r="F11" s="2" t="s">
        <v>63</v>
      </c>
      <c r="G11" s="2" t="s">
        <v>37</v>
      </c>
      <c r="H11" s="2" t="s">
        <v>38</v>
      </c>
      <c r="I11" s="2" t="s">
        <v>64</v>
      </c>
      <c r="J11" s="2" t="s">
        <v>56</v>
      </c>
      <c r="K11" s="2" t="s">
        <v>41</v>
      </c>
      <c r="L11" s="2" t="s">
        <v>42</v>
      </c>
      <c r="M11" s="2" t="s">
        <v>44</v>
      </c>
      <c r="N11" s="2" t="s">
        <v>43</v>
      </c>
      <c r="O11" s="2" t="s">
        <v>57</v>
      </c>
      <c r="P11" s="2" t="s">
        <v>42</v>
      </c>
      <c r="Q11" s="2" t="s">
        <v>46</v>
      </c>
      <c r="R11" s="2" t="s">
        <v>49</v>
      </c>
      <c r="S11" s="2" t="s">
        <v>48</v>
      </c>
      <c r="T11" s="2" t="s">
        <v>42</v>
      </c>
      <c r="U11" s="2" t="s">
        <v>44</v>
      </c>
      <c r="V11" s="2" t="s">
        <v>74</v>
      </c>
      <c r="W11" s="2" t="s">
        <v>48</v>
      </c>
      <c r="X11" s="2" t="s">
        <v>59</v>
      </c>
      <c r="Y11" s="2" t="s">
        <v>48</v>
      </c>
      <c r="Z11" s="2" t="s">
        <v>50</v>
      </c>
      <c r="AA11" s="2" t="s">
        <v>60</v>
      </c>
      <c r="AB11" s="2" t="s">
        <v>49</v>
      </c>
      <c r="AC11" s="1" t="s">
        <v>92</v>
      </c>
      <c r="AD11" s="2" t="s">
        <v>42</v>
      </c>
      <c r="AE11" s="2" t="s">
        <v>44</v>
      </c>
      <c r="AF11" s="1" t="s">
        <v>93</v>
      </c>
      <c r="AG11" s="1" t="s">
        <v>94</v>
      </c>
      <c r="AH11" s="7" t="n">
        <f aca="false">(O11='Labeling Rules'!$C$6)*'Labeling Rules'!$D$6+(Q11='Labeling Rules'!$C$7)*'Labeling Rules'!$D$7+(R11='Labeling Rules'!$C$8)*'Labeling Rules'!$D$8+(R11='Labeling Rules'!$C$9)*'Labeling Rules'!$D$9+(P11='Labeling Rules'!$C$10)*'Labeling Rules'!$D$10+(M11='Labeling Rules'!$C$11)*'Labeling Rules'!$D$11+(T11='Labeling Rules'!$C$12)*'Labeling Rules'!$D$12+(U11='Labeling Rules'!$C$13)*'Labeling Rules'!$D$13+(W11='Labeling Rules'!$C$14)*'Labeling Rules'!$D$14+(Y11='Labeling Rules'!$C$15)*'Labeling Rules'!$D$15</f>
        <v>3</v>
      </c>
      <c r="AI11" s="7" t="n">
        <f aca="false">IF(AH11&gt;='Labeling Rules'!$D$17,1,0)</f>
        <v>0</v>
      </c>
    </row>
    <row r="12" customFormat="false" ht="14.25" hidden="false" customHeight="false" outlineLevel="0" collapsed="false">
      <c r="A12" s="0" t="n">
        <v>11</v>
      </c>
      <c r="B12" s="6" t="n">
        <v>46158.8869097222</v>
      </c>
      <c r="C12" s="6" t="n">
        <v>46158.8889467593</v>
      </c>
      <c r="D12" s="1" t="s">
        <v>35</v>
      </c>
      <c r="F12" s="2" t="s">
        <v>63</v>
      </c>
      <c r="G12" s="2" t="s">
        <v>69</v>
      </c>
      <c r="H12" s="2" t="s">
        <v>38</v>
      </c>
      <c r="I12" s="2" t="s">
        <v>64</v>
      </c>
      <c r="J12" s="2" t="s">
        <v>56</v>
      </c>
      <c r="K12" s="2" t="s">
        <v>41</v>
      </c>
      <c r="L12" s="2" t="s">
        <v>42</v>
      </c>
      <c r="M12" s="2" t="s">
        <v>43</v>
      </c>
      <c r="N12" s="2" t="s">
        <v>44</v>
      </c>
      <c r="O12" s="2" t="s">
        <v>57</v>
      </c>
      <c r="P12" s="2" t="s">
        <v>42</v>
      </c>
      <c r="Q12" s="2" t="s">
        <v>46</v>
      </c>
      <c r="R12" s="2" t="s">
        <v>49</v>
      </c>
      <c r="S12" s="2" t="s">
        <v>48</v>
      </c>
      <c r="T12" s="2" t="s">
        <v>42</v>
      </c>
      <c r="U12" s="2" t="s">
        <v>49</v>
      </c>
      <c r="V12" s="2" t="s">
        <v>49</v>
      </c>
      <c r="W12" s="2" t="s">
        <v>42</v>
      </c>
      <c r="X12" s="2" t="s">
        <v>59</v>
      </c>
      <c r="Y12" s="2" t="s">
        <v>48</v>
      </c>
      <c r="Z12" s="2" t="s">
        <v>50</v>
      </c>
      <c r="AA12" s="2" t="s">
        <v>60</v>
      </c>
      <c r="AB12" s="2" t="s">
        <v>42</v>
      </c>
      <c r="AC12" s="1" t="s">
        <v>95</v>
      </c>
      <c r="AD12" s="2" t="s">
        <v>76</v>
      </c>
      <c r="AE12" s="2" t="s">
        <v>74</v>
      </c>
      <c r="AF12" s="2" t="s">
        <v>96</v>
      </c>
      <c r="AG12" s="2" t="s">
        <v>42</v>
      </c>
      <c r="AH12" s="7" t="n">
        <f aca="false">(O12='Labeling Rules'!$C$6)*'Labeling Rules'!$D$6+(Q12='Labeling Rules'!$C$7)*'Labeling Rules'!$D$7+(R12='Labeling Rules'!$C$8)*'Labeling Rules'!$D$8+(R12='Labeling Rules'!$C$9)*'Labeling Rules'!$D$9+(P12='Labeling Rules'!$C$10)*'Labeling Rules'!$D$10+(M12='Labeling Rules'!$C$11)*'Labeling Rules'!$D$11+(T12='Labeling Rules'!$C$12)*'Labeling Rules'!$D$12+(U12='Labeling Rules'!$C$13)*'Labeling Rules'!$D$13+(W12='Labeling Rules'!$C$14)*'Labeling Rules'!$D$14+(Y12='Labeling Rules'!$C$15)*'Labeling Rules'!$D$15</f>
        <v>3</v>
      </c>
      <c r="AI12" s="7" t="n">
        <f aca="false">IF(AH12&gt;='Labeling Rules'!$D$17,1,0)</f>
        <v>0</v>
      </c>
    </row>
    <row r="13" customFormat="false" ht="14.25" hidden="false" customHeight="false" outlineLevel="0" collapsed="false">
      <c r="A13" s="0" t="n">
        <v>12</v>
      </c>
      <c r="B13" s="6" t="n">
        <v>46158.8899768519</v>
      </c>
      <c r="C13" s="6" t="n">
        <v>46158.8915162037</v>
      </c>
      <c r="D13" s="1" t="s">
        <v>35</v>
      </c>
      <c r="F13" s="2" t="s">
        <v>36</v>
      </c>
      <c r="G13" s="2" t="s">
        <v>37</v>
      </c>
      <c r="H13" s="2" t="s">
        <v>38</v>
      </c>
      <c r="I13" s="2" t="s">
        <v>64</v>
      </c>
      <c r="J13" s="2" t="s">
        <v>56</v>
      </c>
      <c r="K13" s="2" t="s">
        <v>97</v>
      </c>
      <c r="L13" s="2" t="s">
        <v>42</v>
      </c>
      <c r="M13" s="2" t="s">
        <v>49</v>
      </c>
      <c r="N13" s="2" t="s">
        <v>74</v>
      </c>
      <c r="O13" s="2" t="s">
        <v>45</v>
      </c>
      <c r="P13" s="2" t="s">
        <v>42</v>
      </c>
      <c r="Q13" s="2" t="s">
        <v>58</v>
      </c>
      <c r="R13" s="2" t="s">
        <v>42</v>
      </c>
      <c r="S13" s="2" t="s">
        <v>47</v>
      </c>
      <c r="T13" s="2" t="s">
        <v>48</v>
      </c>
      <c r="U13" s="2" t="s">
        <v>49</v>
      </c>
      <c r="V13" s="2" t="s">
        <v>74</v>
      </c>
      <c r="W13" s="2" t="s">
        <v>48</v>
      </c>
      <c r="X13" s="2" t="s">
        <v>59</v>
      </c>
      <c r="Y13" s="2" t="s">
        <v>48</v>
      </c>
      <c r="Z13" s="2" t="s">
        <v>50</v>
      </c>
      <c r="AA13" s="2" t="s">
        <v>67</v>
      </c>
      <c r="AB13" s="2" t="s">
        <v>49</v>
      </c>
      <c r="AC13" s="1" t="s">
        <v>87</v>
      </c>
      <c r="AD13" s="2" t="s">
        <v>76</v>
      </c>
      <c r="AE13" s="2" t="s">
        <v>74</v>
      </c>
      <c r="AF13" s="1" t="s">
        <v>98</v>
      </c>
      <c r="AG13" s="1" t="s">
        <v>98</v>
      </c>
      <c r="AH13" s="7" t="n">
        <f aca="false">(O13='Labeling Rules'!$C$6)*'Labeling Rules'!$D$6+(Q13='Labeling Rules'!$C$7)*'Labeling Rules'!$D$7+(R13='Labeling Rules'!$C$8)*'Labeling Rules'!$D$8+(R13='Labeling Rules'!$C$9)*'Labeling Rules'!$D$9+(P13='Labeling Rules'!$C$10)*'Labeling Rules'!$D$10+(M13='Labeling Rules'!$C$11)*'Labeling Rules'!$D$11+(T13='Labeling Rules'!$C$12)*'Labeling Rules'!$D$12+(U13='Labeling Rules'!$C$13)*'Labeling Rules'!$D$13+(W13='Labeling Rules'!$C$14)*'Labeling Rules'!$D$14+(Y13='Labeling Rules'!$C$15)*'Labeling Rules'!$D$15</f>
        <v>4</v>
      </c>
      <c r="AI13" s="7" t="n">
        <f aca="false">IF(AH13&gt;='Labeling Rules'!$D$17,1,0)</f>
        <v>0</v>
      </c>
    </row>
    <row r="14" customFormat="false" ht="14.25" hidden="false" customHeight="false" outlineLevel="0" collapsed="false">
      <c r="A14" s="0" t="n">
        <v>13</v>
      </c>
      <c r="B14" s="6" t="n">
        <v>46158.8914699074</v>
      </c>
      <c r="C14" s="6" t="n">
        <v>46158.8940509259</v>
      </c>
      <c r="D14" s="1" t="s">
        <v>35</v>
      </c>
      <c r="F14" s="2" t="s">
        <v>36</v>
      </c>
      <c r="G14" s="2" t="s">
        <v>69</v>
      </c>
      <c r="H14" s="2" t="s">
        <v>38</v>
      </c>
      <c r="I14" s="2" t="s">
        <v>80</v>
      </c>
      <c r="J14" s="2" t="s">
        <v>56</v>
      </c>
      <c r="K14" s="2" t="s">
        <v>97</v>
      </c>
      <c r="L14" s="2" t="s">
        <v>42</v>
      </c>
      <c r="M14" s="2" t="s">
        <v>43</v>
      </c>
      <c r="N14" s="2" t="s">
        <v>43</v>
      </c>
      <c r="O14" s="2" t="s">
        <v>66</v>
      </c>
      <c r="P14" s="2" t="s">
        <v>42</v>
      </c>
      <c r="Q14" s="2" t="s">
        <v>58</v>
      </c>
      <c r="R14" s="2" t="s">
        <v>49</v>
      </c>
      <c r="S14" s="2" t="s">
        <v>47</v>
      </c>
      <c r="T14" s="2" t="s">
        <v>42</v>
      </c>
      <c r="U14" s="2" t="s">
        <v>44</v>
      </c>
      <c r="V14" s="2" t="s">
        <v>49</v>
      </c>
      <c r="W14" s="2" t="s">
        <v>48</v>
      </c>
      <c r="X14" s="2" t="s">
        <v>59</v>
      </c>
      <c r="Y14" s="2" t="s">
        <v>42</v>
      </c>
      <c r="Z14" s="2" t="s">
        <v>83</v>
      </c>
      <c r="AA14" s="2" t="s">
        <v>67</v>
      </c>
      <c r="AB14" s="2" t="s">
        <v>49</v>
      </c>
      <c r="AC14" s="1" t="s">
        <v>99</v>
      </c>
      <c r="AD14" s="2" t="s">
        <v>76</v>
      </c>
      <c r="AE14" s="2" t="s">
        <v>44</v>
      </c>
      <c r="AF14" s="2" t="s">
        <v>100</v>
      </c>
      <c r="AG14" s="2" t="s">
        <v>101</v>
      </c>
      <c r="AH14" s="7" t="n">
        <f aca="false">(O14='Labeling Rules'!$C$6)*'Labeling Rules'!$D$6+(Q14='Labeling Rules'!$C$7)*'Labeling Rules'!$D$7+(R14='Labeling Rules'!$C$8)*'Labeling Rules'!$D$8+(R14='Labeling Rules'!$C$9)*'Labeling Rules'!$D$9+(P14='Labeling Rules'!$C$10)*'Labeling Rules'!$D$10+(M14='Labeling Rules'!$C$11)*'Labeling Rules'!$D$11+(T14='Labeling Rules'!$C$12)*'Labeling Rules'!$D$12+(U14='Labeling Rules'!$C$13)*'Labeling Rules'!$D$13+(W14='Labeling Rules'!$C$14)*'Labeling Rules'!$D$14+(Y14='Labeling Rules'!$C$15)*'Labeling Rules'!$D$15</f>
        <v>3</v>
      </c>
      <c r="AI14" s="7" t="n">
        <f aca="false">IF(AH14&gt;='Labeling Rules'!$D$17,1,0)</f>
        <v>0</v>
      </c>
    </row>
    <row r="15" customFormat="false" ht="14.25" hidden="false" customHeight="false" outlineLevel="0" collapsed="false">
      <c r="A15" s="0" t="n">
        <v>14</v>
      </c>
      <c r="B15" s="6" t="n">
        <v>46158.8920949074</v>
      </c>
      <c r="C15" s="6" t="n">
        <v>46158.8940740741</v>
      </c>
      <c r="D15" s="1" t="s">
        <v>35</v>
      </c>
      <c r="F15" s="2" t="s">
        <v>36</v>
      </c>
      <c r="G15" s="2" t="s">
        <v>37</v>
      </c>
      <c r="H15" s="2" t="s">
        <v>38</v>
      </c>
      <c r="I15" s="2" t="s">
        <v>64</v>
      </c>
      <c r="J15" s="2" t="s">
        <v>56</v>
      </c>
      <c r="K15" s="2" t="s">
        <v>41</v>
      </c>
      <c r="L15" s="2" t="s">
        <v>42</v>
      </c>
      <c r="M15" s="2" t="s">
        <v>44</v>
      </c>
      <c r="N15" s="2" t="s">
        <v>44</v>
      </c>
      <c r="O15" s="2" t="s">
        <v>66</v>
      </c>
      <c r="P15" s="2" t="s">
        <v>76</v>
      </c>
      <c r="Q15" s="2" t="s">
        <v>81</v>
      </c>
      <c r="R15" s="2" t="s">
        <v>42</v>
      </c>
      <c r="S15" s="2" t="s">
        <v>48</v>
      </c>
      <c r="T15" s="2" t="s">
        <v>42</v>
      </c>
      <c r="U15" s="2" t="s">
        <v>49</v>
      </c>
      <c r="V15" s="2" t="s">
        <v>82</v>
      </c>
      <c r="W15" s="2" t="s">
        <v>48</v>
      </c>
      <c r="X15" s="2" t="s">
        <v>59</v>
      </c>
      <c r="Y15" s="2" t="s">
        <v>42</v>
      </c>
      <c r="Z15" s="2" t="s">
        <v>83</v>
      </c>
      <c r="AA15" s="2" t="s">
        <v>60</v>
      </c>
      <c r="AB15" s="2" t="s">
        <v>42</v>
      </c>
      <c r="AC15" s="1" t="s">
        <v>68</v>
      </c>
      <c r="AD15" s="2" t="s">
        <v>42</v>
      </c>
      <c r="AE15" s="2" t="s">
        <v>44</v>
      </c>
      <c r="AF15" s="2" t="s">
        <v>102</v>
      </c>
      <c r="AG15" s="2" t="s">
        <v>103</v>
      </c>
      <c r="AH15" s="7" t="n">
        <f aca="false">(O15='Labeling Rules'!$C$6)*'Labeling Rules'!$D$6+(Q15='Labeling Rules'!$C$7)*'Labeling Rules'!$D$7+(R15='Labeling Rules'!$C$8)*'Labeling Rules'!$D$8+(R15='Labeling Rules'!$C$9)*'Labeling Rules'!$D$9+(P15='Labeling Rules'!$C$10)*'Labeling Rules'!$D$10+(M15='Labeling Rules'!$C$11)*'Labeling Rules'!$D$11+(T15='Labeling Rules'!$C$12)*'Labeling Rules'!$D$12+(U15='Labeling Rules'!$C$13)*'Labeling Rules'!$D$13+(W15='Labeling Rules'!$C$14)*'Labeling Rules'!$D$14+(Y15='Labeling Rules'!$C$15)*'Labeling Rules'!$D$15</f>
        <v>7</v>
      </c>
      <c r="AI15" s="7" t="n">
        <f aca="false">IF(AH15&gt;='Labeling Rules'!$D$17,1,0)</f>
        <v>1</v>
      </c>
    </row>
    <row r="16" customFormat="false" ht="14.25" hidden="false" customHeight="false" outlineLevel="0" collapsed="false">
      <c r="A16" s="0" t="n">
        <v>15</v>
      </c>
      <c r="B16" s="6" t="n">
        <v>46158.8965393519</v>
      </c>
      <c r="C16" s="6" t="n">
        <v>46158.8991898148</v>
      </c>
      <c r="D16" s="1" t="s">
        <v>35</v>
      </c>
      <c r="F16" s="2" t="s">
        <v>63</v>
      </c>
      <c r="G16" s="2" t="s">
        <v>37</v>
      </c>
      <c r="H16" s="2" t="s">
        <v>38</v>
      </c>
      <c r="I16" s="2" t="s">
        <v>39</v>
      </c>
      <c r="J16" s="2" t="s">
        <v>56</v>
      </c>
      <c r="K16" s="2" t="s">
        <v>41</v>
      </c>
      <c r="L16" s="2" t="s">
        <v>42</v>
      </c>
      <c r="M16" s="2" t="s">
        <v>43</v>
      </c>
      <c r="N16" s="2" t="s">
        <v>43</v>
      </c>
      <c r="O16" s="2" t="s">
        <v>57</v>
      </c>
      <c r="P16" s="2" t="s">
        <v>42</v>
      </c>
      <c r="Q16" s="2" t="s">
        <v>81</v>
      </c>
      <c r="R16" s="2" t="s">
        <v>42</v>
      </c>
      <c r="S16" s="2" t="s">
        <v>47</v>
      </c>
      <c r="T16" s="2" t="s">
        <v>42</v>
      </c>
      <c r="U16" s="2" t="s">
        <v>49</v>
      </c>
      <c r="V16" s="2" t="s">
        <v>49</v>
      </c>
      <c r="W16" s="2" t="s">
        <v>42</v>
      </c>
      <c r="X16" s="2" t="s">
        <v>59</v>
      </c>
      <c r="Y16" s="2" t="s">
        <v>42</v>
      </c>
      <c r="Z16" s="2" t="s">
        <v>83</v>
      </c>
      <c r="AA16" s="2" t="s">
        <v>77</v>
      </c>
      <c r="AB16" s="2" t="s">
        <v>42</v>
      </c>
      <c r="AC16" s="1" t="s">
        <v>78</v>
      </c>
      <c r="AD16" s="2" t="s">
        <v>76</v>
      </c>
      <c r="AE16" s="2" t="s">
        <v>49</v>
      </c>
      <c r="AF16" s="2" t="s">
        <v>104</v>
      </c>
      <c r="AG16" s="2" t="s">
        <v>42</v>
      </c>
      <c r="AH16" s="7" t="n">
        <f aca="false">(O16='Labeling Rules'!$C$6)*'Labeling Rules'!$D$6+(Q16='Labeling Rules'!$C$7)*'Labeling Rules'!$D$7+(R16='Labeling Rules'!$C$8)*'Labeling Rules'!$D$8+(R16='Labeling Rules'!$C$9)*'Labeling Rules'!$D$9+(P16='Labeling Rules'!$C$10)*'Labeling Rules'!$D$10+(M16='Labeling Rules'!$C$11)*'Labeling Rules'!$D$11+(T16='Labeling Rules'!$C$12)*'Labeling Rules'!$D$12+(U16='Labeling Rules'!$C$13)*'Labeling Rules'!$D$13+(W16='Labeling Rules'!$C$14)*'Labeling Rules'!$D$14+(Y16='Labeling Rules'!$C$15)*'Labeling Rules'!$D$15</f>
        <v>7</v>
      </c>
      <c r="AI16" s="7" t="n">
        <f aca="false">IF(AH16&gt;='Labeling Rules'!$D$17,1,0)</f>
        <v>1</v>
      </c>
    </row>
    <row r="17" customFormat="false" ht="14.25" hidden="false" customHeight="false" outlineLevel="0" collapsed="false">
      <c r="A17" s="0" t="n">
        <v>16</v>
      </c>
      <c r="B17" s="6" t="n">
        <v>46158.8957638889</v>
      </c>
      <c r="C17" s="6" t="n">
        <v>46158.8992476852</v>
      </c>
      <c r="D17" s="1" t="s">
        <v>35</v>
      </c>
      <c r="F17" s="2" t="s">
        <v>36</v>
      </c>
      <c r="G17" s="2" t="s">
        <v>37</v>
      </c>
      <c r="H17" s="2" t="s">
        <v>38</v>
      </c>
      <c r="I17" s="2" t="s">
        <v>64</v>
      </c>
      <c r="J17" s="2" t="s">
        <v>65</v>
      </c>
      <c r="K17" s="2" t="s">
        <v>41</v>
      </c>
      <c r="L17" s="2" t="s">
        <v>42</v>
      </c>
      <c r="M17" s="2" t="s">
        <v>49</v>
      </c>
      <c r="N17" s="2" t="s">
        <v>49</v>
      </c>
      <c r="O17" s="2" t="s">
        <v>57</v>
      </c>
      <c r="P17" s="2" t="s">
        <v>76</v>
      </c>
      <c r="Q17" s="2" t="s">
        <v>81</v>
      </c>
      <c r="R17" s="2" t="s">
        <v>49</v>
      </c>
      <c r="S17" s="2" t="s">
        <v>48</v>
      </c>
      <c r="T17" s="2" t="s">
        <v>42</v>
      </c>
      <c r="U17" s="2" t="s">
        <v>49</v>
      </c>
      <c r="V17" s="2" t="s">
        <v>49</v>
      </c>
      <c r="W17" s="2" t="s">
        <v>48</v>
      </c>
      <c r="X17" s="2" t="s">
        <v>76</v>
      </c>
      <c r="Y17" s="2" t="s">
        <v>48</v>
      </c>
      <c r="Z17" s="2" t="s">
        <v>50</v>
      </c>
      <c r="AA17" s="2" t="s">
        <v>77</v>
      </c>
      <c r="AB17" s="2" t="s">
        <v>49</v>
      </c>
      <c r="AC17" s="1" t="s">
        <v>68</v>
      </c>
      <c r="AD17" s="2" t="s">
        <v>76</v>
      </c>
      <c r="AE17" s="2" t="s">
        <v>49</v>
      </c>
      <c r="AF17" s="2" t="s">
        <v>105</v>
      </c>
      <c r="AG17" s="2" t="s">
        <v>48</v>
      </c>
      <c r="AH17" s="7" t="n">
        <f aca="false">(O17='Labeling Rules'!$C$6)*'Labeling Rules'!$D$6+(Q17='Labeling Rules'!$C$7)*'Labeling Rules'!$D$7+(R17='Labeling Rules'!$C$8)*'Labeling Rules'!$D$8+(R17='Labeling Rules'!$C$9)*'Labeling Rules'!$D$9+(P17='Labeling Rules'!$C$10)*'Labeling Rules'!$D$10+(M17='Labeling Rules'!$C$11)*'Labeling Rules'!$D$11+(T17='Labeling Rules'!$C$12)*'Labeling Rules'!$D$12+(U17='Labeling Rules'!$C$13)*'Labeling Rules'!$D$13+(W17='Labeling Rules'!$C$14)*'Labeling Rules'!$D$14+(Y17='Labeling Rules'!$C$15)*'Labeling Rules'!$D$15</f>
        <v>4</v>
      </c>
      <c r="AI17" s="7" t="n">
        <f aca="false">IF(AH17&gt;='Labeling Rules'!$D$17,1,0)</f>
        <v>0</v>
      </c>
    </row>
    <row r="18" customFormat="false" ht="14.25" hidden="false" customHeight="false" outlineLevel="0" collapsed="false">
      <c r="A18" s="0" t="n">
        <v>17</v>
      </c>
      <c r="B18" s="6" t="n">
        <v>46158.898125</v>
      </c>
      <c r="C18" s="6" t="n">
        <v>46158.8995717593</v>
      </c>
      <c r="D18" s="1" t="s">
        <v>35</v>
      </c>
      <c r="F18" s="2" t="s">
        <v>36</v>
      </c>
      <c r="G18" s="2" t="s">
        <v>69</v>
      </c>
      <c r="H18" s="2" t="s">
        <v>38</v>
      </c>
      <c r="I18" s="2" t="s">
        <v>64</v>
      </c>
      <c r="J18" s="2" t="s">
        <v>56</v>
      </c>
      <c r="K18" s="2" t="s">
        <v>41</v>
      </c>
      <c r="L18" s="2" t="s">
        <v>42</v>
      </c>
      <c r="M18" s="2" t="s">
        <v>44</v>
      </c>
      <c r="N18" s="2" t="s">
        <v>49</v>
      </c>
      <c r="O18" s="2" t="s">
        <v>66</v>
      </c>
      <c r="P18" s="2" t="s">
        <v>42</v>
      </c>
      <c r="Q18" s="2" t="s">
        <v>58</v>
      </c>
      <c r="R18" s="2" t="s">
        <v>49</v>
      </c>
      <c r="S18" s="2" t="s">
        <v>48</v>
      </c>
      <c r="T18" s="2" t="s">
        <v>42</v>
      </c>
      <c r="U18" s="2" t="s">
        <v>44</v>
      </c>
      <c r="V18" s="2" t="s">
        <v>74</v>
      </c>
      <c r="W18" s="2" t="s">
        <v>48</v>
      </c>
      <c r="X18" s="2" t="s">
        <v>59</v>
      </c>
      <c r="Y18" s="2" t="s">
        <v>48</v>
      </c>
      <c r="Z18" s="2" t="s">
        <v>48</v>
      </c>
      <c r="AA18" s="2" t="s">
        <v>67</v>
      </c>
      <c r="AB18" s="2" t="s">
        <v>49</v>
      </c>
      <c r="AC18" s="1" t="s">
        <v>106</v>
      </c>
      <c r="AD18" s="2" t="s">
        <v>42</v>
      </c>
      <c r="AE18" s="2" t="s">
        <v>44</v>
      </c>
      <c r="AF18" s="1" t="s">
        <v>62</v>
      </c>
      <c r="AG18" s="1" t="s">
        <v>62</v>
      </c>
      <c r="AH18" s="7" t="n">
        <f aca="false">(O18='Labeling Rules'!$C$6)*'Labeling Rules'!$D$6+(Q18='Labeling Rules'!$C$7)*'Labeling Rules'!$D$7+(R18='Labeling Rules'!$C$8)*'Labeling Rules'!$D$8+(R18='Labeling Rules'!$C$9)*'Labeling Rules'!$D$9+(P18='Labeling Rules'!$C$10)*'Labeling Rules'!$D$10+(M18='Labeling Rules'!$C$11)*'Labeling Rules'!$D$11+(T18='Labeling Rules'!$C$12)*'Labeling Rules'!$D$12+(U18='Labeling Rules'!$C$13)*'Labeling Rules'!$D$13+(W18='Labeling Rules'!$C$14)*'Labeling Rules'!$D$14+(Y18='Labeling Rules'!$C$15)*'Labeling Rules'!$D$15</f>
        <v>3</v>
      </c>
      <c r="AI18" s="7" t="n">
        <f aca="false">IF(AH18&gt;='Labeling Rules'!$D$17,1,0)</f>
        <v>0</v>
      </c>
    </row>
    <row r="19" customFormat="false" ht="14.25" hidden="false" customHeight="false" outlineLevel="0" collapsed="false">
      <c r="A19" s="0" t="n">
        <v>18</v>
      </c>
      <c r="B19" s="6" t="n">
        <v>46158.8984953704</v>
      </c>
      <c r="C19" s="6" t="n">
        <v>46158.9000694445</v>
      </c>
      <c r="D19" s="1" t="s">
        <v>35</v>
      </c>
      <c r="F19" s="2" t="s">
        <v>36</v>
      </c>
      <c r="G19" s="2" t="s">
        <v>37</v>
      </c>
      <c r="H19" s="2" t="s">
        <v>38</v>
      </c>
      <c r="I19" s="2" t="s">
        <v>64</v>
      </c>
      <c r="J19" s="2" t="s">
        <v>56</v>
      </c>
      <c r="K19" s="2" t="s">
        <v>41</v>
      </c>
      <c r="L19" s="2" t="s">
        <v>42</v>
      </c>
      <c r="M19" s="2" t="s">
        <v>44</v>
      </c>
      <c r="N19" s="2" t="s">
        <v>49</v>
      </c>
      <c r="O19" s="2" t="s">
        <v>45</v>
      </c>
      <c r="P19" s="2" t="s">
        <v>76</v>
      </c>
      <c r="Q19" s="2" t="s">
        <v>58</v>
      </c>
      <c r="R19" s="2" t="s">
        <v>42</v>
      </c>
      <c r="S19" s="2" t="s">
        <v>47</v>
      </c>
      <c r="T19" s="2" t="s">
        <v>48</v>
      </c>
      <c r="U19" s="2" t="s">
        <v>44</v>
      </c>
      <c r="V19" s="2" t="s">
        <v>49</v>
      </c>
      <c r="W19" s="2" t="s">
        <v>42</v>
      </c>
      <c r="X19" s="2" t="s">
        <v>59</v>
      </c>
      <c r="Y19" s="2" t="s">
        <v>48</v>
      </c>
      <c r="Z19" s="2" t="s">
        <v>50</v>
      </c>
      <c r="AA19" s="2" t="s">
        <v>77</v>
      </c>
      <c r="AB19" s="2" t="s">
        <v>42</v>
      </c>
      <c r="AC19" s="1" t="s">
        <v>99</v>
      </c>
      <c r="AD19" s="2" t="s">
        <v>76</v>
      </c>
      <c r="AE19" s="2" t="s">
        <v>49</v>
      </c>
      <c r="AF19" s="1" t="s">
        <v>62</v>
      </c>
      <c r="AG19" s="1" t="s">
        <v>62</v>
      </c>
      <c r="AH19" s="7" t="n">
        <f aca="false">(O19='Labeling Rules'!$C$6)*'Labeling Rules'!$D$6+(Q19='Labeling Rules'!$C$7)*'Labeling Rules'!$D$7+(R19='Labeling Rules'!$C$8)*'Labeling Rules'!$D$8+(R19='Labeling Rules'!$C$9)*'Labeling Rules'!$D$9+(P19='Labeling Rules'!$C$10)*'Labeling Rules'!$D$10+(M19='Labeling Rules'!$C$11)*'Labeling Rules'!$D$11+(T19='Labeling Rules'!$C$12)*'Labeling Rules'!$D$12+(U19='Labeling Rules'!$C$13)*'Labeling Rules'!$D$13+(W19='Labeling Rules'!$C$14)*'Labeling Rules'!$D$14+(Y19='Labeling Rules'!$C$15)*'Labeling Rules'!$D$15</f>
        <v>6</v>
      </c>
      <c r="AI19" s="7" t="n">
        <f aca="false">IF(AH19&gt;='Labeling Rules'!$D$17,1,0)</f>
        <v>1</v>
      </c>
    </row>
    <row r="20" customFormat="false" ht="14.25" hidden="false" customHeight="false" outlineLevel="0" collapsed="false">
      <c r="A20" s="0" t="n">
        <v>19</v>
      </c>
      <c r="B20" s="6" t="n">
        <v>46158.8977893519</v>
      </c>
      <c r="C20" s="6" t="n">
        <v>46158.9002083333</v>
      </c>
      <c r="D20" s="1" t="s">
        <v>35</v>
      </c>
      <c r="F20" s="2" t="s">
        <v>36</v>
      </c>
      <c r="G20" s="2" t="s">
        <v>37</v>
      </c>
      <c r="H20" s="2" t="s">
        <v>38</v>
      </c>
      <c r="I20" s="2" t="s">
        <v>64</v>
      </c>
      <c r="J20" s="2" t="s">
        <v>65</v>
      </c>
      <c r="K20" s="2" t="s">
        <v>41</v>
      </c>
      <c r="L20" s="2" t="s">
        <v>42</v>
      </c>
      <c r="M20" s="2" t="s">
        <v>43</v>
      </c>
      <c r="N20" s="2" t="s">
        <v>43</v>
      </c>
      <c r="O20" s="2" t="s">
        <v>66</v>
      </c>
      <c r="P20" s="2" t="s">
        <v>42</v>
      </c>
      <c r="Q20" s="2" t="s">
        <v>46</v>
      </c>
      <c r="R20" s="2" t="s">
        <v>42</v>
      </c>
      <c r="S20" s="2" t="s">
        <v>47</v>
      </c>
      <c r="T20" s="2" t="s">
        <v>48</v>
      </c>
      <c r="U20" s="2" t="s">
        <v>48</v>
      </c>
      <c r="V20" s="2" t="s">
        <v>49</v>
      </c>
      <c r="W20" s="2" t="s">
        <v>48</v>
      </c>
      <c r="X20" s="2" t="s">
        <v>59</v>
      </c>
      <c r="Y20" s="2" t="s">
        <v>48</v>
      </c>
      <c r="Z20" s="2" t="s">
        <v>50</v>
      </c>
      <c r="AA20" s="2" t="s">
        <v>77</v>
      </c>
      <c r="AB20" s="2" t="s">
        <v>49</v>
      </c>
      <c r="AC20" s="1" t="s">
        <v>68</v>
      </c>
      <c r="AD20" s="2" t="s">
        <v>42</v>
      </c>
      <c r="AE20" s="2" t="s">
        <v>44</v>
      </c>
      <c r="AF20" s="2" t="s">
        <v>107</v>
      </c>
      <c r="AG20" s="2" t="s">
        <v>54</v>
      </c>
      <c r="AH20" s="7" t="n">
        <f aca="false">(O20='Labeling Rules'!$C$6)*'Labeling Rules'!$D$6+(Q20='Labeling Rules'!$C$7)*'Labeling Rules'!$D$7+(R20='Labeling Rules'!$C$8)*'Labeling Rules'!$D$8+(R20='Labeling Rules'!$C$9)*'Labeling Rules'!$D$9+(P20='Labeling Rules'!$C$10)*'Labeling Rules'!$D$10+(M20='Labeling Rules'!$C$11)*'Labeling Rules'!$D$11+(T20='Labeling Rules'!$C$12)*'Labeling Rules'!$D$12+(U20='Labeling Rules'!$C$13)*'Labeling Rules'!$D$13+(W20='Labeling Rules'!$C$14)*'Labeling Rules'!$D$14+(Y20='Labeling Rules'!$C$15)*'Labeling Rules'!$D$15</f>
        <v>3</v>
      </c>
      <c r="AI20" s="7" t="n">
        <f aca="false">IF(AH20&gt;='Labeling Rules'!$D$17,1,0)</f>
        <v>0</v>
      </c>
    </row>
    <row r="21" customFormat="false" ht="14.25" hidden="false" customHeight="false" outlineLevel="0" collapsed="false">
      <c r="A21" s="0" t="n">
        <v>20</v>
      </c>
      <c r="B21" s="6" t="n">
        <v>46158.8981365741</v>
      </c>
      <c r="C21" s="6" t="n">
        <v>46158.9006134259</v>
      </c>
      <c r="D21" s="1" t="s">
        <v>35</v>
      </c>
      <c r="F21" s="2" t="s">
        <v>36</v>
      </c>
      <c r="G21" s="2" t="s">
        <v>37</v>
      </c>
      <c r="H21" s="2" t="s">
        <v>38</v>
      </c>
      <c r="I21" s="2" t="s">
        <v>39</v>
      </c>
      <c r="J21" s="2" t="s">
        <v>65</v>
      </c>
      <c r="K21" s="2" t="s">
        <v>41</v>
      </c>
      <c r="L21" s="2" t="s">
        <v>42</v>
      </c>
      <c r="M21" s="2" t="s">
        <v>43</v>
      </c>
      <c r="N21" s="2" t="s">
        <v>49</v>
      </c>
      <c r="O21" s="2" t="s">
        <v>66</v>
      </c>
      <c r="P21" s="2" t="s">
        <v>42</v>
      </c>
      <c r="Q21" s="2" t="s">
        <v>58</v>
      </c>
      <c r="R21" s="2" t="s">
        <v>49</v>
      </c>
      <c r="S21" s="2" t="s">
        <v>47</v>
      </c>
      <c r="T21" s="2" t="s">
        <v>42</v>
      </c>
      <c r="U21" s="2" t="s">
        <v>49</v>
      </c>
      <c r="V21" s="2" t="s">
        <v>49</v>
      </c>
      <c r="W21" s="2" t="s">
        <v>48</v>
      </c>
      <c r="X21" s="2" t="s">
        <v>59</v>
      </c>
      <c r="Y21" s="2" t="s">
        <v>48</v>
      </c>
      <c r="Z21" s="2" t="s">
        <v>50</v>
      </c>
      <c r="AA21" s="2" t="s">
        <v>67</v>
      </c>
      <c r="AB21" s="2" t="s">
        <v>49</v>
      </c>
      <c r="AC21" s="1" t="s">
        <v>78</v>
      </c>
      <c r="AD21" s="2" t="s">
        <v>76</v>
      </c>
      <c r="AE21" s="2" t="s">
        <v>49</v>
      </c>
      <c r="AF21" s="2" t="s">
        <v>108</v>
      </c>
      <c r="AG21" s="2" t="s">
        <v>109</v>
      </c>
      <c r="AH21" s="7" t="n">
        <f aca="false">(O21='Labeling Rules'!$C$6)*'Labeling Rules'!$D$6+(Q21='Labeling Rules'!$C$7)*'Labeling Rules'!$D$7+(R21='Labeling Rules'!$C$8)*'Labeling Rules'!$D$8+(R21='Labeling Rules'!$C$9)*'Labeling Rules'!$D$9+(P21='Labeling Rules'!$C$10)*'Labeling Rules'!$D$10+(M21='Labeling Rules'!$C$11)*'Labeling Rules'!$D$11+(T21='Labeling Rules'!$C$12)*'Labeling Rules'!$D$12+(U21='Labeling Rules'!$C$13)*'Labeling Rules'!$D$13+(W21='Labeling Rules'!$C$14)*'Labeling Rules'!$D$14+(Y21='Labeling Rules'!$C$15)*'Labeling Rules'!$D$15</f>
        <v>2</v>
      </c>
      <c r="AI21" s="7" t="n">
        <f aca="false">IF(AH21&gt;='Labeling Rules'!$D$17,1,0)</f>
        <v>0</v>
      </c>
    </row>
    <row r="22" customFormat="false" ht="14.25" hidden="false" customHeight="false" outlineLevel="0" collapsed="false">
      <c r="A22" s="0" t="n">
        <v>21</v>
      </c>
      <c r="B22" s="6" t="n">
        <v>46158.8984490741</v>
      </c>
      <c r="C22" s="6" t="n">
        <v>46158.9007060185</v>
      </c>
      <c r="D22" s="1" t="s">
        <v>35</v>
      </c>
      <c r="F22" s="2" t="s">
        <v>36</v>
      </c>
      <c r="G22" s="2" t="s">
        <v>37</v>
      </c>
      <c r="H22" s="2" t="s">
        <v>38</v>
      </c>
      <c r="I22" s="2" t="s">
        <v>39</v>
      </c>
      <c r="J22" s="2" t="s">
        <v>65</v>
      </c>
      <c r="K22" s="2" t="s">
        <v>41</v>
      </c>
      <c r="L22" s="2" t="s">
        <v>42</v>
      </c>
      <c r="M22" s="2" t="s">
        <v>43</v>
      </c>
      <c r="N22" s="2" t="s">
        <v>49</v>
      </c>
      <c r="O22" s="2" t="s">
        <v>57</v>
      </c>
      <c r="P22" s="2" t="s">
        <v>42</v>
      </c>
      <c r="Q22" s="2" t="s">
        <v>46</v>
      </c>
      <c r="R22" s="2" t="s">
        <v>49</v>
      </c>
      <c r="S22" s="2" t="s">
        <v>47</v>
      </c>
      <c r="T22" s="2" t="s">
        <v>42</v>
      </c>
      <c r="U22" s="2" t="s">
        <v>44</v>
      </c>
      <c r="V22" s="2" t="s">
        <v>82</v>
      </c>
      <c r="W22" s="2" t="s">
        <v>48</v>
      </c>
      <c r="X22" s="2" t="s">
        <v>59</v>
      </c>
      <c r="Y22" s="2" t="s">
        <v>48</v>
      </c>
      <c r="Z22" s="2" t="s">
        <v>50</v>
      </c>
      <c r="AA22" s="2" t="s">
        <v>77</v>
      </c>
      <c r="AB22" s="2" t="s">
        <v>49</v>
      </c>
      <c r="AC22" s="1" t="s">
        <v>52</v>
      </c>
      <c r="AD22" s="2" t="s">
        <v>76</v>
      </c>
      <c r="AE22" s="2" t="s">
        <v>49</v>
      </c>
      <c r="AF22" s="2" t="s">
        <v>110</v>
      </c>
      <c r="AG22" s="2" t="s">
        <v>54</v>
      </c>
      <c r="AH22" s="7" t="n">
        <f aca="false">(O22='Labeling Rules'!$C$6)*'Labeling Rules'!$D$6+(Q22='Labeling Rules'!$C$7)*'Labeling Rules'!$D$7+(R22='Labeling Rules'!$C$8)*'Labeling Rules'!$D$8+(R22='Labeling Rules'!$C$9)*'Labeling Rules'!$D$9+(P22='Labeling Rules'!$C$10)*'Labeling Rules'!$D$10+(M22='Labeling Rules'!$C$11)*'Labeling Rules'!$D$11+(T22='Labeling Rules'!$C$12)*'Labeling Rules'!$D$12+(U22='Labeling Rules'!$C$13)*'Labeling Rules'!$D$13+(W22='Labeling Rules'!$C$14)*'Labeling Rules'!$D$14+(Y22='Labeling Rules'!$C$15)*'Labeling Rules'!$D$15</f>
        <v>2</v>
      </c>
      <c r="AI22" s="7" t="n">
        <f aca="false">IF(AH22&gt;='Labeling Rules'!$D$17,1,0)</f>
        <v>0</v>
      </c>
    </row>
    <row r="23" customFormat="false" ht="14.25" hidden="false" customHeight="false" outlineLevel="0" collapsed="false">
      <c r="A23" s="0" t="n">
        <v>22</v>
      </c>
      <c r="B23" s="6" t="n">
        <v>46158.8990393519</v>
      </c>
      <c r="C23" s="6" t="n">
        <v>46158.9015972222</v>
      </c>
      <c r="D23" s="1" t="s">
        <v>35</v>
      </c>
      <c r="F23" s="2" t="s">
        <v>36</v>
      </c>
      <c r="G23" s="2" t="s">
        <v>69</v>
      </c>
      <c r="H23" s="2" t="s">
        <v>38</v>
      </c>
      <c r="I23" s="2" t="s">
        <v>64</v>
      </c>
      <c r="J23" s="2" t="s">
        <v>56</v>
      </c>
      <c r="K23" s="2" t="s">
        <v>41</v>
      </c>
      <c r="L23" s="2" t="s">
        <v>42</v>
      </c>
      <c r="M23" s="2" t="s">
        <v>44</v>
      </c>
      <c r="N23" s="2" t="s">
        <v>44</v>
      </c>
      <c r="O23" s="2" t="s">
        <v>66</v>
      </c>
      <c r="P23" s="2" t="s">
        <v>42</v>
      </c>
      <c r="Q23" s="2" t="s">
        <v>58</v>
      </c>
      <c r="R23" s="2" t="s">
        <v>49</v>
      </c>
      <c r="S23" s="2" t="s">
        <v>48</v>
      </c>
      <c r="T23" s="2" t="s">
        <v>42</v>
      </c>
      <c r="U23" s="2" t="s">
        <v>44</v>
      </c>
      <c r="V23" s="2" t="s">
        <v>49</v>
      </c>
      <c r="W23" s="2" t="s">
        <v>48</v>
      </c>
      <c r="X23" s="2" t="s">
        <v>59</v>
      </c>
      <c r="Y23" s="2" t="s">
        <v>48</v>
      </c>
      <c r="Z23" s="2" t="s">
        <v>50</v>
      </c>
      <c r="AA23" s="2" t="s">
        <v>51</v>
      </c>
      <c r="AB23" s="2" t="s">
        <v>42</v>
      </c>
      <c r="AC23" s="1" t="s">
        <v>68</v>
      </c>
      <c r="AD23" s="2" t="s">
        <v>42</v>
      </c>
      <c r="AE23" s="2" t="s">
        <v>44</v>
      </c>
      <c r="AF23" s="2" t="s">
        <v>111</v>
      </c>
      <c r="AG23" s="2" t="s">
        <v>109</v>
      </c>
      <c r="AH23" s="7" t="n">
        <f aca="false">(O23='Labeling Rules'!$C$6)*'Labeling Rules'!$D$6+(Q23='Labeling Rules'!$C$7)*'Labeling Rules'!$D$7+(R23='Labeling Rules'!$C$8)*'Labeling Rules'!$D$8+(R23='Labeling Rules'!$C$9)*'Labeling Rules'!$D$9+(P23='Labeling Rules'!$C$10)*'Labeling Rules'!$D$10+(M23='Labeling Rules'!$C$11)*'Labeling Rules'!$D$11+(T23='Labeling Rules'!$C$12)*'Labeling Rules'!$D$12+(U23='Labeling Rules'!$C$13)*'Labeling Rules'!$D$13+(W23='Labeling Rules'!$C$14)*'Labeling Rules'!$D$14+(Y23='Labeling Rules'!$C$15)*'Labeling Rules'!$D$15</f>
        <v>3</v>
      </c>
      <c r="AI23" s="7" t="n">
        <f aca="false">IF(AH23&gt;='Labeling Rules'!$D$17,1,0)</f>
        <v>0</v>
      </c>
    </row>
    <row r="24" customFormat="false" ht="14.25" hidden="false" customHeight="false" outlineLevel="0" collapsed="false">
      <c r="A24" s="0" t="n">
        <v>23</v>
      </c>
      <c r="B24" s="6" t="n">
        <v>46158.898125</v>
      </c>
      <c r="C24" s="6" t="n">
        <v>46158.9019444444</v>
      </c>
      <c r="D24" s="1" t="s">
        <v>35</v>
      </c>
      <c r="F24" s="2" t="s">
        <v>36</v>
      </c>
      <c r="G24" s="2" t="s">
        <v>37</v>
      </c>
      <c r="H24" s="2" t="s">
        <v>38</v>
      </c>
      <c r="I24" s="2" t="s">
        <v>39</v>
      </c>
      <c r="J24" s="2" t="s">
        <v>56</v>
      </c>
      <c r="K24" s="2" t="s">
        <v>41</v>
      </c>
      <c r="L24" s="2" t="s">
        <v>42</v>
      </c>
      <c r="M24" s="2" t="s">
        <v>43</v>
      </c>
      <c r="N24" s="2" t="s">
        <v>49</v>
      </c>
      <c r="O24" s="2" t="s">
        <v>45</v>
      </c>
      <c r="P24" s="2" t="s">
        <v>42</v>
      </c>
      <c r="Q24" s="2" t="s">
        <v>81</v>
      </c>
      <c r="R24" s="2" t="s">
        <v>49</v>
      </c>
      <c r="S24" s="2" t="s">
        <v>47</v>
      </c>
      <c r="T24" s="2" t="s">
        <v>42</v>
      </c>
      <c r="U24" s="2" t="s">
        <v>44</v>
      </c>
      <c r="V24" s="2" t="s">
        <v>82</v>
      </c>
      <c r="W24" s="2" t="s">
        <v>48</v>
      </c>
      <c r="X24" s="2" t="s">
        <v>76</v>
      </c>
      <c r="Y24" s="2" t="s">
        <v>42</v>
      </c>
      <c r="Z24" s="2" t="s">
        <v>48</v>
      </c>
      <c r="AA24" s="2" t="s">
        <v>67</v>
      </c>
      <c r="AB24" s="2" t="s">
        <v>49</v>
      </c>
      <c r="AC24" s="1" t="s">
        <v>70</v>
      </c>
      <c r="AD24" s="2" t="s">
        <v>76</v>
      </c>
      <c r="AE24" s="2" t="s">
        <v>49</v>
      </c>
      <c r="AF24" s="2" t="s">
        <v>112</v>
      </c>
      <c r="AG24" s="2" t="s">
        <v>42</v>
      </c>
      <c r="AH24" s="7" t="n">
        <f aca="false">(O24='Labeling Rules'!$C$6)*'Labeling Rules'!$D$6+(Q24='Labeling Rules'!$C$7)*'Labeling Rules'!$D$7+(R24='Labeling Rules'!$C$8)*'Labeling Rules'!$D$8+(R24='Labeling Rules'!$C$9)*'Labeling Rules'!$D$9+(P24='Labeling Rules'!$C$10)*'Labeling Rules'!$D$10+(M24='Labeling Rules'!$C$11)*'Labeling Rules'!$D$11+(T24='Labeling Rules'!$C$12)*'Labeling Rules'!$D$12+(U24='Labeling Rules'!$C$13)*'Labeling Rules'!$D$13+(W24='Labeling Rules'!$C$14)*'Labeling Rules'!$D$14+(Y24='Labeling Rules'!$C$15)*'Labeling Rules'!$D$15</f>
        <v>7</v>
      </c>
      <c r="AI24" s="7" t="n">
        <f aca="false">IF(AH24&gt;='Labeling Rules'!$D$17,1,0)</f>
        <v>1</v>
      </c>
    </row>
    <row r="25" customFormat="false" ht="14.25" hidden="false" customHeight="false" outlineLevel="0" collapsed="false">
      <c r="A25" s="0" t="n">
        <v>24</v>
      </c>
      <c r="B25" s="6" t="n">
        <v>46158.8993518519</v>
      </c>
      <c r="C25" s="6" t="n">
        <v>46158.9024305556</v>
      </c>
      <c r="D25" s="1" t="s">
        <v>35</v>
      </c>
      <c r="F25" s="2" t="s">
        <v>36</v>
      </c>
      <c r="G25" s="2" t="s">
        <v>69</v>
      </c>
      <c r="H25" s="2" t="s">
        <v>38</v>
      </c>
      <c r="I25" s="2" t="s">
        <v>64</v>
      </c>
      <c r="J25" s="2" t="s">
        <v>65</v>
      </c>
      <c r="K25" s="2" t="s">
        <v>41</v>
      </c>
      <c r="L25" s="2" t="s">
        <v>42</v>
      </c>
      <c r="M25" s="2" t="s">
        <v>49</v>
      </c>
      <c r="N25" s="2" t="s">
        <v>74</v>
      </c>
      <c r="O25" s="2" t="s">
        <v>45</v>
      </c>
      <c r="P25" s="2" t="s">
        <v>76</v>
      </c>
      <c r="Q25" s="2" t="s">
        <v>46</v>
      </c>
      <c r="R25" s="2" t="s">
        <v>48</v>
      </c>
      <c r="S25" s="2" t="s">
        <v>47</v>
      </c>
      <c r="T25" s="2" t="s">
        <v>48</v>
      </c>
      <c r="U25" s="2" t="s">
        <v>49</v>
      </c>
      <c r="V25" s="2" t="s">
        <v>49</v>
      </c>
      <c r="W25" s="2" t="s">
        <v>48</v>
      </c>
      <c r="X25" s="2" t="s">
        <v>59</v>
      </c>
      <c r="Y25" s="2" t="s">
        <v>48</v>
      </c>
      <c r="Z25" s="2" t="s">
        <v>50</v>
      </c>
      <c r="AA25" s="2" t="s">
        <v>51</v>
      </c>
      <c r="AB25" s="2" t="s">
        <v>49</v>
      </c>
      <c r="AC25" s="1" t="s">
        <v>113</v>
      </c>
      <c r="AD25" s="2" t="s">
        <v>42</v>
      </c>
      <c r="AE25" s="2" t="s">
        <v>49</v>
      </c>
      <c r="AF25" s="2" t="s">
        <v>114</v>
      </c>
      <c r="AG25" s="2" t="s">
        <v>115</v>
      </c>
      <c r="AH25" s="7" t="n">
        <f aca="false">(O25='Labeling Rules'!$C$6)*'Labeling Rules'!$D$6+(Q25='Labeling Rules'!$C$7)*'Labeling Rules'!$D$7+(R25='Labeling Rules'!$C$8)*'Labeling Rules'!$D$8+(R25='Labeling Rules'!$C$9)*'Labeling Rules'!$D$9+(P25='Labeling Rules'!$C$10)*'Labeling Rules'!$D$10+(M25='Labeling Rules'!$C$11)*'Labeling Rules'!$D$11+(T25='Labeling Rules'!$C$12)*'Labeling Rules'!$D$12+(U25='Labeling Rules'!$C$13)*'Labeling Rules'!$D$13+(W25='Labeling Rules'!$C$14)*'Labeling Rules'!$D$14+(Y25='Labeling Rules'!$C$15)*'Labeling Rules'!$D$15</f>
        <v>2</v>
      </c>
      <c r="AI25" s="7" t="n">
        <f aca="false">IF(AH25&gt;='Labeling Rules'!$D$17,1,0)</f>
        <v>0</v>
      </c>
    </row>
    <row r="26" customFormat="false" ht="14.25" hidden="false" customHeight="false" outlineLevel="0" collapsed="false">
      <c r="A26" s="0" t="n">
        <v>25</v>
      </c>
      <c r="B26" s="6" t="n">
        <v>46158.9008217593</v>
      </c>
      <c r="C26" s="6" t="n">
        <v>46158.9025</v>
      </c>
      <c r="D26" s="1" t="s">
        <v>35</v>
      </c>
      <c r="F26" s="2" t="s">
        <v>36</v>
      </c>
      <c r="G26" s="2" t="s">
        <v>37</v>
      </c>
      <c r="H26" s="2" t="s">
        <v>38</v>
      </c>
      <c r="I26" s="2" t="s">
        <v>64</v>
      </c>
      <c r="J26" s="2" t="s">
        <v>56</v>
      </c>
      <c r="K26" s="2" t="s">
        <v>41</v>
      </c>
      <c r="L26" s="2" t="s">
        <v>42</v>
      </c>
      <c r="M26" s="2" t="s">
        <v>49</v>
      </c>
      <c r="N26" s="2" t="s">
        <v>49</v>
      </c>
      <c r="O26" s="2" t="s">
        <v>45</v>
      </c>
      <c r="P26" s="2" t="s">
        <v>76</v>
      </c>
      <c r="Q26" s="2" t="s">
        <v>46</v>
      </c>
      <c r="R26" s="2" t="s">
        <v>42</v>
      </c>
      <c r="S26" s="2" t="s">
        <v>47</v>
      </c>
      <c r="T26" s="2" t="s">
        <v>48</v>
      </c>
      <c r="U26" s="2" t="s">
        <v>44</v>
      </c>
      <c r="V26" s="2" t="s">
        <v>82</v>
      </c>
      <c r="W26" s="2" t="s">
        <v>48</v>
      </c>
      <c r="X26" s="2" t="s">
        <v>76</v>
      </c>
      <c r="Y26" s="2" t="s">
        <v>48</v>
      </c>
      <c r="Z26" s="2" t="s">
        <v>50</v>
      </c>
      <c r="AA26" s="2" t="s">
        <v>60</v>
      </c>
      <c r="AB26" s="2" t="s">
        <v>49</v>
      </c>
      <c r="AC26" s="1" t="s">
        <v>116</v>
      </c>
      <c r="AD26" s="2" t="s">
        <v>76</v>
      </c>
      <c r="AE26" s="2" t="s">
        <v>49</v>
      </c>
      <c r="AF26" s="2" t="s">
        <v>117</v>
      </c>
      <c r="AG26" s="2" t="s">
        <v>118</v>
      </c>
      <c r="AH26" s="7" t="n">
        <f aca="false">(O26='Labeling Rules'!$C$6)*'Labeling Rules'!$D$6+(Q26='Labeling Rules'!$C$7)*'Labeling Rules'!$D$7+(R26='Labeling Rules'!$C$8)*'Labeling Rules'!$D$8+(R26='Labeling Rules'!$C$9)*'Labeling Rules'!$D$9+(P26='Labeling Rules'!$C$10)*'Labeling Rules'!$D$10+(M26='Labeling Rules'!$C$11)*'Labeling Rules'!$D$11+(T26='Labeling Rules'!$C$12)*'Labeling Rules'!$D$12+(U26='Labeling Rules'!$C$13)*'Labeling Rules'!$D$13+(W26='Labeling Rules'!$C$14)*'Labeling Rules'!$D$14+(Y26='Labeling Rules'!$C$15)*'Labeling Rules'!$D$15</f>
        <v>4</v>
      </c>
      <c r="AI26" s="7" t="n">
        <f aca="false">IF(AH26&gt;='Labeling Rules'!$D$17,1,0)</f>
        <v>0</v>
      </c>
    </row>
    <row r="27" customFormat="false" ht="14.25" hidden="false" customHeight="false" outlineLevel="0" collapsed="false">
      <c r="A27" s="0" t="n">
        <v>26</v>
      </c>
      <c r="B27" s="6" t="n">
        <v>46158.8981828704</v>
      </c>
      <c r="C27" s="6" t="n">
        <v>46158.9035763889</v>
      </c>
      <c r="D27" s="1" t="s">
        <v>35</v>
      </c>
      <c r="F27" s="2" t="s">
        <v>36</v>
      </c>
      <c r="G27" s="2" t="s">
        <v>37</v>
      </c>
      <c r="H27" s="2" t="s">
        <v>38</v>
      </c>
      <c r="I27" s="2" t="s">
        <v>64</v>
      </c>
      <c r="J27" s="2" t="s">
        <v>56</v>
      </c>
      <c r="K27" s="2" t="s">
        <v>41</v>
      </c>
      <c r="L27" s="2" t="s">
        <v>42</v>
      </c>
      <c r="M27" s="2" t="s">
        <v>49</v>
      </c>
      <c r="N27" s="2" t="s">
        <v>49</v>
      </c>
      <c r="O27" s="2" t="s">
        <v>66</v>
      </c>
      <c r="P27" s="2" t="s">
        <v>42</v>
      </c>
      <c r="Q27" s="2" t="s">
        <v>58</v>
      </c>
      <c r="R27" s="2" t="s">
        <v>49</v>
      </c>
      <c r="S27" s="2" t="s">
        <v>47</v>
      </c>
      <c r="T27" s="2" t="s">
        <v>42</v>
      </c>
      <c r="U27" s="2" t="s">
        <v>44</v>
      </c>
      <c r="V27" s="2" t="s">
        <v>74</v>
      </c>
      <c r="W27" s="2" t="s">
        <v>48</v>
      </c>
      <c r="X27" s="2" t="s">
        <v>59</v>
      </c>
      <c r="Y27" s="2" t="s">
        <v>48</v>
      </c>
      <c r="Z27" s="2" t="s">
        <v>50</v>
      </c>
      <c r="AA27" s="2" t="s">
        <v>51</v>
      </c>
      <c r="AB27" s="2" t="s">
        <v>42</v>
      </c>
      <c r="AC27" s="1" t="s">
        <v>68</v>
      </c>
      <c r="AD27" s="2" t="s">
        <v>42</v>
      </c>
      <c r="AE27" s="2" t="s">
        <v>44</v>
      </c>
      <c r="AF27" s="2" t="s">
        <v>119</v>
      </c>
      <c r="AG27" s="2" t="s">
        <v>48</v>
      </c>
      <c r="AH27" s="7" t="n">
        <f aca="false">(O27='Labeling Rules'!$C$6)*'Labeling Rules'!$D$6+(Q27='Labeling Rules'!$C$7)*'Labeling Rules'!$D$7+(R27='Labeling Rules'!$C$8)*'Labeling Rules'!$D$8+(R27='Labeling Rules'!$C$9)*'Labeling Rules'!$D$9+(P27='Labeling Rules'!$C$10)*'Labeling Rules'!$D$10+(M27='Labeling Rules'!$C$11)*'Labeling Rules'!$D$11+(T27='Labeling Rules'!$C$12)*'Labeling Rules'!$D$12+(U27='Labeling Rules'!$C$13)*'Labeling Rules'!$D$13+(W27='Labeling Rules'!$C$14)*'Labeling Rules'!$D$14+(Y27='Labeling Rules'!$C$15)*'Labeling Rules'!$D$15</f>
        <v>2</v>
      </c>
      <c r="AI27" s="7" t="n">
        <f aca="false">IF(AH27&gt;='Labeling Rules'!$D$17,1,0)</f>
        <v>0</v>
      </c>
    </row>
    <row r="28" customFormat="false" ht="14.25" hidden="false" customHeight="false" outlineLevel="0" collapsed="false">
      <c r="A28" s="0" t="n">
        <v>27</v>
      </c>
      <c r="B28" s="6" t="n">
        <v>46158.8997222222</v>
      </c>
      <c r="C28" s="6" t="n">
        <v>46158.9042708333</v>
      </c>
      <c r="D28" s="1" t="s">
        <v>35</v>
      </c>
      <c r="F28" s="2" t="s">
        <v>36</v>
      </c>
      <c r="G28" s="2" t="s">
        <v>69</v>
      </c>
      <c r="H28" s="2" t="s">
        <v>38</v>
      </c>
      <c r="I28" s="2" t="s">
        <v>80</v>
      </c>
      <c r="J28" s="2" t="s">
        <v>56</v>
      </c>
      <c r="K28" s="2" t="s">
        <v>97</v>
      </c>
      <c r="L28" s="2" t="s">
        <v>42</v>
      </c>
      <c r="M28" s="2" t="s">
        <v>49</v>
      </c>
      <c r="N28" s="2" t="s">
        <v>49</v>
      </c>
      <c r="O28" s="2" t="s">
        <v>66</v>
      </c>
      <c r="P28" s="2" t="s">
        <v>42</v>
      </c>
      <c r="Q28" s="2" t="s">
        <v>58</v>
      </c>
      <c r="R28" s="2" t="s">
        <v>49</v>
      </c>
      <c r="S28" s="2" t="s">
        <v>48</v>
      </c>
      <c r="T28" s="2" t="s">
        <v>42</v>
      </c>
      <c r="U28" s="2" t="s">
        <v>44</v>
      </c>
      <c r="V28" s="2" t="s">
        <v>49</v>
      </c>
      <c r="W28" s="2" t="s">
        <v>48</v>
      </c>
      <c r="X28" s="2" t="s">
        <v>59</v>
      </c>
      <c r="Y28" s="2" t="s">
        <v>48</v>
      </c>
      <c r="Z28" s="2" t="s">
        <v>50</v>
      </c>
      <c r="AA28" s="2" t="s">
        <v>77</v>
      </c>
      <c r="AB28" s="2" t="s">
        <v>42</v>
      </c>
      <c r="AC28" s="1" t="s">
        <v>68</v>
      </c>
      <c r="AD28" s="2" t="s">
        <v>76</v>
      </c>
      <c r="AE28" s="2" t="s">
        <v>49</v>
      </c>
      <c r="AF28" s="1" t="s">
        <v>120</v>
      </c>
      <c r="AG28" s="2" t="s">
        <v>121</v>
      </c>
      <c r="AH28" s="7" t="n">
        <f aca="false">(O28='Labeling Rules'!$C$6)*'Labeling Rules'!$D$6+(Q28='Labeling Rules'!$C$7)*'Labeling Rules'!$D$7+(R28='Labeling Rules'!$C$8)*'Labeling Rules'!$D$8+(R28='Labeling Rules'!$C$9)*'Labeling Rules'!$D$9+(P28='Labeling Rules'!$C$10)*'Labeling Rules'!$D$10+(M28='Labeling Rules'!$C$11)*'Labeling Rules'!$D$11+(T28='Labeling Rules'!$C$12)*'Labeling Rules'!$D$12+(U28='Labeling Rules'!$C$13)*'Labeling Rules'!$D$13+(W28='Labeling Rules'!$C$14)*'Labeling Rules'!$D$14+(Y28='Labeling Rules'!$C$15)*'Labeling Rules'!$D$15</f>
        <v>2</v>
      </c>
      <c r="AI28" s="7" t="n">
        <f aca="false">IF(AH28&gt;='Labeling Rules'!$D$17,1,0)</f>
        <v>0</v>
      </c>
    </row>
    <row r="29" customFormat="false" ht="35.05" hidden="false" customHeight="false" outlineLevel="0" collapsed="false">
      <c r="A29" s="0" t="n">
        <v>28</v>
      </c>
      <c r="B29" s="6" t="n">
        <v>46158.9050925926</v>
      </c>
      <c r="C29" s="6" t="n">
        <v>46158.9070486111</v>
      </c>
      <c r="D29" s="1" t="s">
        <v>35</v>
      </c>
      <c r="F29" s="2" t="s">
        <v>36</v>
      </c>
      <c r="G29" s="2" t="s">
        <v>37</v>
      </c>
      <c r="H29" s="2" t="s">
        <v>38</v>
      </c>
      <c r="I29" s="2" t="s">
        <v>80</v>
      </c>
      <c r="J29" s="2" t="s">
        <v>56</v>
      </c>
      <c r="K29" s="2" t="s">
        <v>41</v>
      </c>
      <c r="L29" s="2" t="s">
        <v>42</v>
      </c>
      <c r="M29" s="2" t="s">
        <v>43</v>
      </c>
      <c r="N29" s="2" t="s">
        <v>43</v>
      </c>
      <c r="O29" s="2" t="s">
        <v>66</v>
      </c>
      <c r="P29" s="2" t="s">
        <v>42</v>
      </c>
      <c r="Q29" s="2" t="s">
        <v>58</v>
      </c>
      <c r="R29" s="2" t="s">
        <v>49</v>
      </c>
      <c r="S29" s="2" t="s">
        <v>47</v>
      </c>
      <c r="T29" s="2" t="s">
        <v>48</v>
      </c>
      <c r="U29" s="2" t="s">
        <v>44</v>
      </c>
      <c r="V29" s="2" t="s">
        <v>82</v>
      </c>
      <c r="W29" s="2" t="s">
        <v>48</v>
      </c>
      <c r="X29" s="2" t="s">
        <v>59</v>
      </c>
      <c r="Y29" s="2" t="s">
        <v>48</v>
      </c>
      <c r="Z29" s="2" t="s">
        <v>50</v>
      </c>
      <c r="AA29" s="2" t="s">
        <v>67</v>
      </c>
      <c r="AB29" s="2" t="s">
        <v>49</v>
      </c>
      <c r="AC29" s="1" t="s">
        <v>52</v>
      </c>
      <c r="AD29" s="2" t="s">
        <v>42</v>
      </c>
      <c r="AE29" s="2" t="s">
        <v>44</v>
      </c>
      <c r="AF29" s="3" t="s">
        <v>122</v>
      </c>
      <c r="AG29" s="2" t="s">
        <v>123</v>
      </c>
      <c r="AH29" s="7" t="n">
        <f aca="false">(O29='Labeling Rules'!$C$6)*'Labeling Rules'!$D$6+(Q29='Labeling Rules'!$C$7)*'Labeling Rules'!$D$7+(R29='Labeling Rules'!$C$8)*'Labeling Rules'!$D$8+(R29='Labeling Rules'!$C$9)*'Labeling Rules'!$D$9+(P29='Labeling Rules'!$C$10)*'Labeling Rules'!$D$10+(M29='Labeling Rules'!$C$11)*'Labeling Rules'!$D$11+(T29='Labeling Rules'!$C$12)*'Labeling Rules'!$D$12+(U29='Labeling Rules'!$C$13)*'Labeling Rules'!$D$13+(W29='Labeling Rules'!$C$14)*'Labeling Rules'!$D$14+(Y29='Labeling Rules'!$C$15)*'Labeling Rules'!$D$15</f>
        <v>1</v>
      </c>
      <c r="AI29" s="7" t="n">
        <f aca="false">IF(AH29&gt;='Labeling Rules'!$D$17,1,0)</f>
        <v>0</v>
      </c>
    </row>
    <row r="30" customFormat="false" ht="14.25" hidden="false" customHeight="false" outlineLevel="0" collapsed="false">
      <c r="A30" s="0" t="n">
        <v>29</v>
      </c>
      <c r="B30" s="6" t="n">
        <v>46158.8877083333</v>
      </c>
      <c r="C30" s="6" t="n">
        <v>46158.9078009259</v>
      </c>
      <c r="D30" s="1" t="s">
        <v>35</v>
      </c>
      <c r="F30" s="2" t="s">
        <v>36</v>
      </c>
      <c r="G30" s="2" t="s">
        <v>73</v>
      </c>
      <c r="H30" s="2" t="s">
        <v>38</v>
      </c>
      <c r="I30" s="2" t="s">
        <v>64</v>
      </c>
      <c r="J30" s="2" t="s">
        <v>56</v>
      </c>
      <c r="K30" s="2" t="s">
        <v>41</v>
      </c>
      <c r="L30" s="2" t="s">
        <v>42</v>
      </c>
      <c r="M30" s="2" t="s">
        <v>43</v>
      </c>
      <c r="N30" s="2" t="s">
        <v>44</v>
      </c>
      <c r="O30" s="2" t="s">
        <v>45</v>
      </c>
      <c r="P30" s="2" t="s">
        <v>42</v>
      </c>
      <c r="Q30" s="2" t="s">
        <v>46</v>
      </c>
      <c r="R30" s="2" t="s">
        <v>42</v>
      </c>
      <c r="S30" s="2" t="s">
        <v>47</v>
      </c>
      <c r="T30" s="2" t="s">
        <v>48</v>
      </c>
      <c r="U30" s="2" t="s">
        <v>49</v>
      </c>
      <c r="V30" s="2" t="s">
        <v>74</v>
      </c>
      <c r="W30" s="2" t="s">
        <v>48</v>
      </c>
      <c r="X30" s="2" t="s">
        <v>59</v>
      </c>
      <c r="Y30" s="2" t="s">
        <v>48</v>
      </c>
      <c r="Z30" s="2" t="s">
        <v>50</v>
      </c>
      <c r="AA30" s="2" t="s">
        <v>51</v>
      </c>
      <c r="AB30" s="2" t="s">
        <v>49</v>
      </c>
      <c r="AC30" s="1" t="s">
        <v>52</v>
      </c>
      <c r="AD30" s="2" t="s">
        <v>42</v>
      </c>
      <c r="AE30" s="2" t="s">
        <v>44</v>
      </c>
      <c r="AF30" s="2" t="s">
        <v>124</v>
      </c>
      <c r="AG30" s="2" t="s">
        <v>54</v>
      </c>
      <c r="AH30" s="7" t="n">
        <f aca="false">(O30='Labeling Rules'!$C$6)*'Labeling Rules'!$D$6+(Q30='Labeling Rules'!$C$7)*'Labeling Rules'!$D$7+(R30='Labeling Rules'!$C$8)*'Labeling Rules'!$D$8+(R30='Labeling Rules'!$C$9)*'Labeling Rules'!$D$9+(P30='Labeling Rules'!$C$10)*'Labeling Rules'!$D$10+(M30='Labeling Rules'!$C$11)*'Labeling Rules'!$D$11+(T30='Labeling Rules'!$C$12)*'Labeling Rules'!$D$12+(U30='Labeling Rules'!$C$13)*'Labeling Rules'!$D$13+(W30='Labeling Rules'!$C$14)*'Labeling Rules'!$D$14+(Y30='Labeling Rules'!$C$15)*'Labeling Rules'!$D$15</f>
        <v>4</v>
      </c>
      <c r="AI30" s="7" t="n">
        <f aca="false">IF(AH30&gt;='Labeling Rules'!$D$17,1,0)</f>
        <v>0</v>
      </c>
    </row>
    <row r="31" customFormat="false" ht="14.25" hidden="false" customHeight="false" outlineLevel="0" collapsed="false">
      <c r="A31" s="0" t="n">
        <v>30</v>
      </c>
      <c r="B31" s="6" t="n">
        <v>46158.9054976852</v>
      </c>
      <c r="C31" s="6" t="n">
        <v>46158.9085185185</v>
      </c>
      <c r="D31" s="1" t="s">
        <v>35</v>
      </c>
      <c r="F31" s="2" t="s">
        <v>36</v>
      </c>
      <c r="G31" s="2" t="s">
        <v>37</v>
      </c>
      <c r="H31" s="2" t="s">
        <v>38</v>
      </c>
      <c r="I31" s="2" t="s">
        <v>64</v>
      </c>
      <c r="J31" s="2" t="s">
        <v>56</v>
      </c>
      <c r="K31" s="2" t="s">
        <v>41</v>
      </c>
      <c r="L31" s="2" t="s">
        <v>42</v>
      </c>
      <c r="M31" s="2" t="s">
        <v>43</v>
      </c>
      <c r="N31" s="2" t="s">
        <v>49</v>
      </c>
      <c r="O31" s="2" t="s">
        <v>66</v>
      </c>
      <c r="P31" s="2" t="s">
        <v>42</v>
      </c>
      <c r="Q31" s="2" t="s">
        <v>46</v>
      </c>
      <c r="R31" s="2" t="s">
        <v>49</v>
      </c>
      <c r="S31" s="2" t="s">
        <v>47</v>
      </c>
      <c r="T31" s="2" t="s">
        <v>48</v>
      </c>
      <c r="U31" s="2" t="s">
        <v>44</v>
      </c>
      <c r="V31" s="2" t="s">
        <v>82</v>
      </c>
      <c r="W31" s="2" t="s">
        <v>48</v>
      </c>
      <c r="X31" s="2" t="s">
        <v>59</v>
      </c>
      <c r="Y31" s="2" t="s">
        <v>48</v>
      </c>
      <c r="Z31" s="2" t="s">
        <v>50</v>
      </c>
      <c r="AA31" s="2" t="s">
        <v>60</v>
      </c>
      <c r="AB31" s="2" t="s">
        <v>42</v>
      </c>
      <c r="AC31" s="1" t="s">
        <v>125</v>
      </c>
      <c r="AD31" s="2" t="s">
        <v>48</v>
      </c>
      <c r="AE31" s="2" t="s">
        <v>49</v>
      </c>
      <c r="AF31" s="2" t="s">
        <v>126</v>
      </c>
      <c r="AG31" s="2" t="s">
        <v>127</v>
      </c>
      <c r="AH31" s="7" t="n">
        <f aca="false">(O31='Labeling Rules'!$C$6)*'Labeling Rules'!$D$6+(Q31='Labeling Rules'!$C$7)*'Labeling Rules'!$D$7+(R31='Labeling Rules'!$C$8)*'Labeling Rules'!$D$8+(R31='Labeling Rules'!$C$9)*'Labeling Rules'!$D$9+(P31='Labeling Rules'!$C$10)*'Labeling Rules'!$D$10+(M31='Labeling Rules'!$C$11)*'Labeling Rules'!$D$11+(T31='Labeling Rules'!$C$12)*'Labeling Rules'!$D$12+(U31='Labeling Rules'!$C$13)*'Labeling Rules'!$D$13+(W31='Labeling Rules'!$C$14)*'Labeling Rules'!$D$14+(Y31='Labeling Rules'!$C$15)*'Labeling Rules'!$D$15</f>
        <v>1</v>
      </c>
      <c r="AI31" s="7" t="n">
        <f aca="false">IF(AH31&gt;='Labeling Rules'!$D$17,1,0)</f>
        <v>0</v>
      </c>
    </row>
    <row r="32" customFormat="false" ht="14.25" hidden="false" customHeight="false" outlineLevel="0" collapsed="false">
      <c r="A32" s="0" t="n">
        <v>31</v>
      </c>
      <c r="B32" s="6" t="n">
        <v>46158.9042592593</v>
      </c>
      <c r="C32" s="6" t="n">
        <v>46158.9090277778</v>
      </c>
      <c r="D32" s="1" t="s">
        <v>35</v>
      </c>
      <c r="F32" s="2" t="s">
        <v>36</v>
      </c>
      <c r="G32" s="2" t="s">
        <v>37</v>
      </c>
      <c r="H32" s="2" t="s">
        <v>38</v>
      </c>
      <c r="I32" s="2" t="s">
        <v>39</v>
      </c>
      <c r="J32" s="2" t="s">
        <v>65</v>
      </c>
      <c r="K32" s="2" t="s">
        <v>41</v>
      </c>
      <c r="L32" s="2" t="s">
        <v>42</v>
      </c>
      <c r="M32" s="2" t="s">
        <v>49</v>
      </c>
      <c r="N32" s="2" t="s">
        <v>49</v>
      </c>
      <c r="O32" s="2" t="s">
        <v>57</v>
      </c>
      <c r="P32" s="2" t="s">
        <v>76</v>
      </c>
      <c r="Q32" s="2" t="s">
        <v>58</v>
      </c>
      <c r="R32" s="2" t="s">
        <v>49</v>
      </c>
      <c r="S32" s="2" t="s">
        <v>47</v>
      </c>
      <c r="T32" s="2" t="s">
        <v>48</v>
      </c>
      <c r="U32" s="2" t="s">
        <v>44</v>
      </c>
      <c r="V32" s="2" t="s">
        <v>82</v>
      </c>
      <c r="W32" s="2" t="s">
        <v>48</v>
      </c>
      <c r="X32" s="2" t="s">
        <v>59</v>
      </c>
      <c r="Y32" s="2" t="s">
        <v>48</v>
      </c>
      <c r="Z32" s="2" t="s">
        <v>50</v>
      </c>
      <c r="AA32" s="2" t="s">
        <v>77</v>
      </c>
      <c r="AB32" s="2" t="s">
        <v>49</v>
      </c>
      <c r="AC32" s="1" t="s">
        <v>87</v>
      </c>
      <c r="AD32" s="2" t="s">
        <v>76</v>
      </c>
      <c r="AE32" s="2" t="s">
        <v>49</v>
      </c>
      <c r="AF32" s="2" t="s">
        <v>128</v>
      </c>
      <c r="AG32" s="2" t="s">
        <v>42</v>
      </c>
      <c r="AH32" s="7" t="n">
        <f aca="false">(O32='Labeling Rules'!$C$6)*'Labeling Rules'!$D$6+(Q32='Labeling Rules'!$C$7)*'Labeling Rules'!$D$7+(R32='Labeling Rules'!$C$8)*'Labeling Rules'!$D$8+(R32='Labeling Rules'!$C$9)*'Labeling Rules'!$D$9+(P32='Labeling Rules'!$C$10)*'Labeling Rules'!$D$10+(M32='Labeling Rules'!$C$11)*'Labeling Rules'!$D$11+(T32='Labeling Rules'!$C$12)*'Labeling Rules'!$D$12+(U32='Labeling Rules'!$C$13)*'Labeling Rules'!$D$13+(W32='Labeling Rules'!$C$14)*'Labeling Rules'!$D$14+(Y32='Labeling Rules'!$C$15)*'Labeling Rules'!$D$15</f>
        <v>1</v>
      </c>
      <c r="AI32" s="7" t="n">
        <f aca="false">IF(AH32&gt;='Labeling Rules'!$D$17,1,0)</f>
        <v>0</v>
      </c>
    </row>
    <row r="33" customFormat="false" ht="14.25" hidden="false" customHeight="false" outlineLevel="0" collapsed="false">
      <c r="A33" s="0" t="n">
        <v>32</v>
      </c>
      <c r="B33" s="6" t="n">
        <v>46158.9066203704</v>
      </c>
      <c r="C33" s="6" t="n">
        <v>46158.9101388889</v>
      </c>
      <c r="D33" s="1" t="s">
        <v>35</v>
      </c>
      <c r="F33" s="2" t="s">
        <v>36</v>
      </c>
      <c r="G33" s="2" t="s">
        <v>73</v>
      </c>
      <c r="H33" s="2" t="s">
        <v>38</v>
      </c>
      <c r="I33" s="2" t="s">
        <v>64</v>
      </c>
      <c r="J33" s="2" t="s">
        <v>56</v>
      </c>
      <c r="K33" s="2" t="s">
        <v>41</v>
      </c>
      <c r="L33" s="2" t="s">
        <v>42</v>
      </c>
      <c r="M33" s="2" t="s">
        <v>44</v>
      </c>
      <c r="N33" s="2" t="s">
        <v>43</v>
      </c>
      <c r="O33" s="2" t="s">
        <v>45</v>
      </c>
      <c r="P33" s="2" t="s">
        <v>76</v>
      </c>
      <c r="Q33" s="2" t="s">
        <v>46</v>
      </c>
      <c r="R33" s="2" t="s">
        <v>42</v>
      </c>
      <c r="S33" s="2" t="s">
        <v>48</v>
      </c>
      <c r="T33" s="2" t="s">
        <v>48</v>
      </c>
      <c r="U33" s="2" t="s">
        <v>44</v>
      </c>
      <c r="V33" s="2" t="s">
        <v>82</v>
      </c>
      <c r="W33" s="2" t="s">
        <v>48</v>
      </c>
      <c r="X33" s="2" t="s">
        <v>59</v>
      </c>
      <c r="Y33" s="2" t="s">
        <v>48</v>
      </c>
      <c r="Z33" s="2" t="s">
        <v>50</v>
      </c>
      <c r="AA33" s="2" t="s">
        <v>51</v>
      </c>
      <c r="AB33" s="2" t="s">
        <v>49</v>
      </c>
      <c r="AC33" s="1" t="s">
        <v>68</v>
      </c>
      <c r="AD33" s="2" t="s">
        <v>42</v>
      </c>
      <c r="AE33" s="2" t="s">
        <v>44</v>
      </c>
      <c r="AF33" s="2" t="s">
        <v>129</v>
      </c>
      <c r="AG33" s="2" t="s">
        <v>48</v>
      </c>
      <c r="AH33" s="7" t="n">
        <f aca="false">(O33='Labeling Rules'!$C$6)*'Labeling Rules'!$D$6+(Q33='Labeling Rules'!$C$7)*'Labeling Rules'!$D$7+(R33='Labeling Rules'!$C$8)*'Labeling Rules'!$D$8+(R33='Labeling Rules'!$C$9)*'Labeling Rules'!$D$9+(P33='Labeling Rules'!$C$10)*'Labeling Rules'!$D$10+(M33='Labeling Rules'!$C$11)*'Labeling Rules'!$D$11+(T33='Labeling Rules'!$C$12)*'Labeling Rules'!$D$12+(U33='Labeling Rules'!$C$13)*'Labeling Rules'!$D$13+(W33='Labeling Rules'!$C$14)*'Labeling Rules'!$D$14+(Y33='Labeling Rules'!$C$15)*'Labeling Rules'!$D$15</f>
        <v>5</v>
      </c>
      <c r="AI33" s="7" t="n">
        <f aca="false">IF(AH33&gt;='Labeling Rules'!$D$17,1,0)</f>
        <v>1</v>
      </c>
    </row>
    <row r="34" customFormat="false" ht="14.25" hidden="false" customHeight="false" outlineLevel="0" collapsed="false">
      <c r="A34" s="0" t="n">
        <v>33</v>
      </c>
      <c r="B34" s="6" t="n">
        <v>46158.9090277778</v>
      </c>
      <c r="C34" s="6" t="n">
        <v>46158.9102314815</v>
      </c>
      <c r="D34" s="1" t="s">
        <v>35</v>
      </c>
      <c r="F34" s="2" t="s">
        <v>36</v>
      </c>
      <c r="G34" s="2" t="s">
        <v>37</v>
      </c>
      <c r="H34" s="2" t="s">
        <v>38</v>
      </c>
      <c r="I34" s="2" t="s">
        <v>64</v>
      </c>
      <c r="J34" s="2" t="s">
        <v>56</v>
      </c>
      <c r="K34" s="2" t="s">
        <v>41</v>
      </c>
      <c r="L34" s="2" t="s">
        <v>42</v>
      </c>
      <c r="M34" s="2" t="s">
        <v>43</v>
      </c>
      <c r="N34" s="2" t="s">
        <v>49</v>
      </c>
      <c r="O34" s="2" t="s">
        <v>66</v>
      </c>
      <c r="P34" s="2" t="s">
        <v>42</v>
      </c>
      <c r="Q34" s="2" t="s">
        <v>58</v>
      </c>
      <c r="R34" s="2" t="s">
        <v>49</v>
      </c>
      <c r="S34" s="2" t="s">
        <v>47</v>
      </c>
      <c r="T34" s="2" t="s">
        <v>42</v>
      </c>
      <c r="U34" s="2" t="s">
        <v>44</v>
      </c>
      <c r="V34" s="2" t="s">
        <v>74</v>
      </c>
      <c r="W34" s="2" t="s">
        <v>48</v>
      </c>
      <c r="X34" s="2" t="s">
        <v>76</v>
      </c>
      <c r="Y34" s="2" t="s">
        <v>42</v>
      </c>
      <c r="Z34" s="2" t="s">
        <v>83</v>
      </c>
      <c r="AA34" s="2" t="s">
        <v>77</v>
      </c>
      <c r="AB34" s="2" t="s">
        <v>49</v>
      </c>
      <c r="AC34" s="1" t="s">
        <v>113</v>
      </c>
      <c r="AD34" s="2" t="s">
        <v>42</v>
      </c>
      <c r="AE34" s="2" t="s">
        <v>49</v>
      </c>
      <c r="AF34" s="1" t="s">
        <v>62</v>
      </c>
      <c r="AG34" s="1" t="s">
        <v>62</v>
      </c>
      <c r="AH34" s="7" t="n">
        <f aca="false">(O34='Labeling Rules'!$C$6)*'Labeling Rules'!$D$6+(Q34='Labeling Rules'!$C$7)*'Labeling Rules'!$D$7+(R34='Labeling Rules'!$C$8)*'Labeling Rules'!$D$8+(R34='Labeling Rules'!$C$9)*'Labeling Rules'!$D$9+(P34='Labeling Rules'!$C$10)*'Labeling Rules'!$D$10+(M34='Labeling Rules'!$C$11)*'Labeling Rules'!$D$11+(T34='Labeling Rules'!$C$12)*'Labeling Rules'!$D$12+(U34='Labeling Rules'!$C$13)*'Labeling Rules'!$D$13+(W34='Labeling Rules'!$C$14)*'Labeling Rules'!$D$14+(Y34='Labeling Rules'!$C$15)*'Labeling Rules'!$D$15</f>
        <v>3</v>
      </c>
      <c r="AI34" s="7" t="n">
        <f aca="false">IF(AH34&gt;='Labeling Rules'!$D$17,1,0)</f>
        <v>0</v>
      </c>
    </row>
    <row r="35" customFormat="false" ht="37.3" hidden="false" customHeight="false" outlineLevel="0" collapsed="false">
      <c r="A35" s="0" t="n">
        <v>34</v>
      </c>
      <c r="B35" s="6" t="n">
        <v>46158.8989351852</v>
      </c>
      <c r="C35" s="6" t="n">
        <v>46158.9122222222</v>
      </c>
      <c r="D35" s="1" t="s">
        <v>35</v>
      </c>
      <c r="F35" s="2" t="s">
        <v>63</v>
      </c>
      <c r="G35" s="2" t="s">
        <v>37</v>
      </c>
      <c r="H35" s="2" t="s">
        <v>38</v>
      </c>
      <c r="I35" s="2" t="s">
        <v>39</v>
      </c>
      <c r="J35" s="2" t="s">
        <v>56</v>
      </c>
      <c r="K35" s="2" t="s">
        <v>41</v>
      </c>
      <c r="L35" s="2" t="s">
        <v>42</v>
      </c>
      <c r="M35" s="2" t="s">
        <v>49</v>
      </c>
      <c r="N35" s="2" t="s">
        <v>43</v>
      </c>
      <c r="O35" s="2" t="s">
        <v>57</v>
      </c>
      <c r="P35" s="2" t="s">
        <v>42</v>
      </c>
      <c r="Q35" s="2" t="s">
        <v>81</v>
      </c>
      <c r="R35" s="2" t="s">
        <v>42</v>
      </c>
      <c r="S35" s="2" t="s">
        <v>47</v>
      </c>
      <c r="T35" s="2" t="s">
        <v>42</v>
      </c>
      <c r="U35" s="2" t="s">
        <v>44</v>
      </c>
      <c r="V35" s="2" t="s">
        <v>74</v>
      </c>
      <c r="W35" s="2" t="s">
        <v>48</v>
      </c>
      <c r="X35" s="2" t="s">
        <v>59</v>
      </c>
      <c r="Y35" s="2" t="s">
        <v>48</v>
      </c>
      <c r="Z35" s="2" t="s">
        <v>50</v>
      </c>
      <c r="AA35" s="2" t="s">
        <v>51</v>
      </c>
      <c r="AB35" s="2" t="s">
        <v>49</v>
      </c>
      <c r="AC35" s="1" t="s">
        <v>87</v>
      </c>
      <c r="AD35" s="2" t="s">
        <v>48</v>
      </c>
      <c r="AE35" s="2" t="s">
        <v>74</v>
      </c>
      <c r="AF35" s="3" t="s">
        <v>130</v>
      </c>
      <c r="AG35" s="2" t="s">
        <v>131</v>
      </c>
      <c r="AH35" s="7" t="n">
        <f aca="false">(O35='Labeling Rules'!$C$6)*'Labeling Rules'!$D$6+(Q35='Labeling Rules'!$C$7)*'Labeling Rules'!$D$7+(R35='Labeling Rules'!$C$8)*'Labeling Rules'!$D$8+(R35='Labeling Rules'!$C$9)*'Labeling Rules'!$D$9+(P35='Labeling Rules'!$C$10)*'Labeling Rules'!$D$10+(M35='Labeling Rules'!$C$11)*'Labeling Rules'!$D$11+(T35='Labeling Rules'!$C$12)*'Labeling Rules'!$D$12+(U35='Labeling Rules'!$C$13)*'Labeling Rules'!$D$13+(W35='Labeling Rules'!$C$14)*'Labeling Rules'!$D$14+(Y35='Labeling Rules'!$C$15)*'Labeling Rules'!$D$15</f>
        <v>5</v>
      </c>
      <c r="AI35" s="7" t="n">
        <f aca="false">IF(AH35&gt;='Labeling Rules'!$D$17,1,0)</f>
        <v>1</v>
      </c>
    </row>
    <row r="36" customFormat="false" ht="14.25" hidden="false" customHeight="false" outlineLevel="0" collapsed="false">
      <c r="A36" s="0" t="n">
        <v>35</v>
      </c>
      <c r="B36" s="6" t="n">
        <v>46158.9148032407</v>
      </c>
      <c r="C36" s="6" t="n">
        <v>46158.9171527778</v>
      </c>
      <c r="D36" s="1" t="s">
        <v>35</v>
      </c>
      <c r="F36" s="2" t="s">
        <v>36</v>
      </c>
      <c r="G36" s="2" t="s">
        <v>37</v>
      </c>
      <c r="H36" s="2" t="s">
        <v>38</v>
      </c>
      <c r="I36" s="2" t="s">
        <v>55</v>
      </c>
      <c r="J36" s="2" t="s">
        <v>56</v>
      </c>
      <c r="K36" s="2" t="s">
        <v>41</v>
      </c>
      <c r="L36" s="2" t="s">
        <v>42</v>
      </c>
      <c r="M36" s="2" t="s">
        <v>44</v>
      </c>
      <c r="N36" s="2" t="s">
        <v>44</v>
      </c>
      <c r="O36" s="2" t="s">
        <v>66</v>
      </c>
      <c r="P36" s="2" t="s">
        <v>42</v>
      </c>
      <c r="Q36" s="2" t="s">
        <v>58</v>
      </c>
      <c r="R36" s="2" t="s">
        <v>42</v>
      </c>
      <c r="S36" s="2" t="s">
        <v>47</v>
      </c>
      <c r="T36" s="2" t="s">
        <v>42</v>
      </c>
      <c r="U36" s="2" t="s">
        <v>44</v>
      </c>
      <c r="V36" s="2" t="s">
        <v>49</v>
      </c>
      <c r="W36" s="2" t="s">
        <v>48</v>
      </c>
      <c r="X36" s="2" t="s">
        <v>59</v>
      </c>
      <c r="Y36" s="2" t="s">
        <v>42</v>
      </c>
      <c r="Z36" s="2" t="s">
        <v>83</v>
      </c>
      <c r="AA36" s="2" t="s">
        <v>51</v>
      </c>
      <c r="AB36" s="2" t="s">
        <v>49</v>
      </c>
      <c r="AC36" s="1" t="s">
        <v>52</v>
      </c>
      <c r="AD36" s="2" t="s">
        <v>42</v>
      </c>
      <c r="AE36" s="2" t="s">
        <v>49</v>
      </c>
      <c r="AF36" s="2" t="s">
        <v>132</v>
      </c>
      <c r="AG36" s="2" t="s">
        <v>133</v>
      </c>
      <c r="AH36" s="7" t="n">
        <f aca="false">(O36='Labeling Rules'!$C$6)*'Labeling Rules'!$D$6+(Q36='Labeling Rules'!$C$7)*'Labeling Rules'!$D$7+(R36='Labeling Rules'!$C$8)*'Labeling Rules'!$D$8+(R36='Labeling Rules'!$C$9)*'Labeling Rules'!$D$9+(P36='Labeling Rules'!$C$10)*'Labeling Rules'!$D$10+(M36='Labeling Rules'!$C$11)*'Labeling Rules'!$D$11+(T36='Labeling Rules'!$C$12)*'Labeling Rules'!$D$12+(U36='Labeling Rules'!$C$13)*'Labeling Rules'!$D$13+(W36='Labeling Rules'!$C$14)*'Labeling Rules'!$D$14+(Y36='Labeling Rules'!$C$15)*'Labeling Rules'!$D$15</f>
        <v>5</v>
      </c>
      <c r="AI36" s="7" t="n">
        <f aca="false">IF(AH36&gt;='Labeling Rules'!$D$17,1,0)</f>
        <v>1</v>
      </c>
    </row>
    <row r="37" customFormat="false" ht="14.25" hidden="false" customHeight="false" outlineLevel="0" collapsed="false">
      <c r="A37" s="0" t="n">
        <v>36</v>
      </c>
      <c r="B37" s="6" t="n">
        <v>46158.9147337963</v>
      </c>
      <c r="C37" s="6" t="n">
        <v>46158.9179282407</v>
      </c>
      <c r="D37" s="1" t="s">
        <v>35</v>
      </c>
      <c r="F37" s="2" t="s">
        <v>36</v>
      </c>
      <c r="G37" s="2" t="s">
        <v>37</v>
      </c>
      <c r="H37" s="2" t="s">
        <v>38</v>
      </c>
      <c r="I37" s="2" t="s">
        <v>64</v>
      </c>
      <c r="J37" s="2" t="s">
        <v>56</v>
      </c>
      <c r="K37" s="2" t="s">
        <v>41</v>
      </c>
      <c r="L37" s="2" t="s">
        <v>42</v>
      </c>
      <c r="M37" s="2" t="s">
        <v>49</v>
      </c>
      <c r="N37" s="2" t="s">
        <v>74</v>
      </c>
      <c r="O37" s="2" t="s">
        <v>57</v>
      </c>
      <c r="P37" s="2" t="s">
        <v>42</v>
      </c>
      <c r="Q37" s="2" t="s">
        <v>46</v>
      </c>
      <c r="R37" s="2" t="s">
        <v>49</v>
      </c>
      <c r="S37" s="2" t="s">
        <v>47</v>
      </c>
      <c r="T37" s="2" t="s">
        <v>48</v>
      </c>
      <c r="U37" s="2" t="s">
        <v>44</v>
      </c>
      <c r="V37" s="2" t="s">
        <v>49</v>
      </c>
      <c r="W37" s="2" t="s">
        <v>48</v>
      </c>
      <c r="X37" s="2" t="s">
        <v>76</v>
      </c>
      <c r="Y37" s="2" t="s">
        <v>48</v>
      </c>
      <c r="Z37" s="2" t="s">
        <v>50</v>
      </c>
      <c r="AA37" s="2" t="s">
        <v>77</v>
      </c>
      <c r="AB37" s="2" t="s">
        <v>49</v>
      </c>
      <c r="AC37" s="1" t="s">
        <v>134</v>
      </c>
      <c r="AD37" s="2" t="s">
        <v>48</v>
      </c>
      <c r="AE37" s="2" t="s">
        <v>49</v>
      </c>
      <c r="AF37" s="2" t="s">
        <v>135</v>
      </c>
      <c r="AG37" s="2" t="s">
        <v>136</v>
      </c>
      <c r="AH37" s="7" t="n">
        <f aca="false">(O37='Labeling Rules'!$C$6)*'Labeling Rules'!$D$6+(Q37='Labeling Rules'!$C$7)*'Labeling Rules'!$D$7+(R37='Labeling Rules'!$C$8)*'Labeling Rules'!$D$8+(R37='Labeling Rules'!$C$9)*'Labeling Rules'!$D$9+(P37='Labeling Rules'!$C$10)*'Labeling Rules'!$D$10+(M37='Labeling Rules'!$C$11)*'Labeling Rules'!$D$11+(T37='Labeling Rules'!$C$12)*'Labeling Rules'!$D$12+(U37='Labeling Rules'!$C$13)*'Labeling Rules'!$D$13+(W37='Labeling Rules'!$C$14)*'Labeling Rules'!$D$14+(Y37='Labeling Rules'!$C$15)*'Labeling Rules'!$D$15</f>
        <v>1</v>
      </c>
      <c r="AI37" s="7" t="n">
        <f aca="false">IF(AH37&gt;='Labeling Rules'!$D$17,1,0)</f>
        <v>0</v>
      </c>
    </row>
    <row r="38" customFormat="false" ht="28.35" hidden="false" customHeight="false" outlineLevel="0" collapsed="false">
      <c r="A38" s="0" t="n">
        <v>37</v>
      </c>
      <c r="B38" s="6" t="n">
        <v>46158.9217708333</v>
      </c>
      <c r="C38" s="6" t="n">
        <v>46158.923599537</v>
      </c>
      <c r="D38" s="1" t="s">
        <v>35</v>
      </c>
      <c r="F38" s="2" t="s">
        <v>63</v>
      </c>
      <c r="G38" s="2" t="s">
        <v>137</v>
      </c>
      <c r="H38" s="2" t="s">
        <v>38</v>
      </c>
      <c r="I38" s="2" t="s">
        <v>64</v>
      </c>
      <c r="J38" s="2" t="s">
        <v>56</v>
      </c>
      <c r="K38" s="2" t="s">
        <v>41</v>
      </c>
      <c r="L38" s="2" t="s">
        <v>42</v>
      </c>
      <c r="M38" s="2" t="s">
        <v>43</v>
      </c>
      <c r="N38" s="2" t="s">
        <v>49</v>
      </c>
      <c r="O38" s="2" t="s">
        <v>66</v>
      </c>
      <c r="P38" s="2" t="s">
        <v>76</v>
      </c>
      <c r="Q38" s="2" t="s">
        <v>46</v>
      </c>
      <c r="R38" s="2" t="s">
        <v>42</v>
      </c>
      <c r="S38" s="2" t="s">
        <v>47</v>
      </c>
      <c r="T38" s="2" t="s">
        <v>42</v>
      </c>
      <c r="U38" s="2" t="s">
        <v>49</v>
      </c>
      <c r="V38" s="2" t="s">
        <v>74</v>
      </c>
      <c r="W38" s="2" t="s">
        <v>48</v>
      </c>
      <c r="X38" s="2" t="s">
        <v>59</v>
      </c>
      <c r="Y38" s="2" t="s">
        <v>48</v>
      </c>
      <c r="Z38" s="2" t="s">
        <v>50</v>
      </c>
      <c r="AA38" s="2" t="s">
        <v>67</v>
      </c>
      <c r="AB38" s="2" t="s">
        <v>49</v>
      </c>
      <c r="AC38" s="1" t="s">
        <v>52</v>
      </c>
      <c r="AD38" s="2" t="s">
        <v>76</v>
      </c>
      <c r="AE38" s="2" t="s">
        <v>44</v>
      </c>
      <c r="AF38" s="4" t="s">
        <v>138</v>
      </c>
      <c r="AG38" s="1" t="s">
        <v>139</v>
      </c>
      <c r="AH38" s="7" t="n">
        <f aca="false">(O38='Labeling Rules'!$C$6)*'Labeling Rules'!$D$6+(Q38='Labeling Rules'!$C$7)*'Labeling Rules'!$D$7+(R38='Labeling Rules'!$C$8)*'Labeling Rules'!$D$8+(R38='Labeling Rules'!$C$9)*'Labeling Rules'!$D$9+(P38='Labeling Rules'!$C$10)*'Labeling Rules'!$D$10+(M38='Labeling Rules'!$C$11)*'Labeling Rules'!$D$11+(T38='Labeling Rules'!$C$12)*'Labeling Rules'!$D$12+(U38='Labeling Rules'!$C$13)*'Labeling Rules'!$D$13+(W38='Labeling Rules'!$C$14)*'Labeling Rules'!$D$14+(Y38='Labeling Rules'!$C$15)*'Labeling Rules'!$D$15</f>
        <v>3</v>
      </c>
      <c r="AI38" s="7" t="n">
        <f aca="false">IF(AH38&gt;='Labeling Rules'!$D$17,1,0)</f>
        <v>0</v>
      </c>
    </row>
    <row r="39" customFormat="false" ht="14.25" hidden="false" customHeight="false" outlineLevel="0" collapsed="false">
      <c r="A39" s="0" t="n">
        <v>38</v>
      </c>
      <c r="B39" s="6" t="n">
        <v>46158.9202893519</v>
      </c>
      <c r="C39" s="6" t="n">
        <v>46158.9242013889</v>
      </c>
      <c r="D39" s="1" t="s">
        <v>35</v>
      </c>
      <c r="F39" s="2" t="s">
        <v>36</v>
      </c>
      <c r="G39" s="2" t="s">
        <v>37</v>
      </c>
      <c r="H39" s="2" t="s">
        <v>38</v>
      </c>
      <c r="I39" s="2" t="s">
        <v>39</v>
      </c>
      <c r="J39" s="2" t="s">
        <v>56</v>
      </c>
      <c r="K39" s="2" t="s">
        <v>41</v>
      </c>
      <c r="L39" s="2" t="s">
        <v>42</v>
      </c>
      <c r="M39" s="2" t="s">
        <v>49</v>
      </c>
      <c r="N39" s="2" t="s">
        <v>43</v>
      </c>
      <c r="O39" s="2" t="s">
        <v>66</v>
      </c>
      <c r="P39" s="2" t="s">
        <v>42</v>
      </c>
      <c r="Q39" s="2" t="s">
        <v>46</v>
      </c>
      <c r="R39" s="2" t="s">
        <v>49</v>
      </c>
      <c r="S39" s="2" t="s">
        <v>47</v>
      </c>
      <c r="T39" s="2" t="s">
        <v>48</v>
      </c>
      <c r="U39" s="2" t="s">
        <v>49</v>
      </c>
      <c r="V39" s="2" t="s">
        <v>74</v>
      </c>
      <c r="W39" s="2" t="s">
        <v>48</v>
      </c>
      <c r="X39" s="2" t="s">
        <v>59</v>
      </c>
      <c r="Y39" s="2" t="s">
        <v>48</v>
      </c>
      <c r="Z39" s="2" t="s">
        <v>50</v>
      </c>
      <c r="AA39" s="2" t="s">
        <v>67</v>
      </c>
      <c r="AB39" s="2" t="s">
        <v>42</v>
      </c>
      <c r="AC39" s="1" t="s">
        <v>140</v>
      </c>
      <c r="AD39" s="2" t="s">
        <v>76</v>
      </c>
      <c r="AE39" s="2" t="s">
        <v>49</v>
      </c>
      <c r="AF39" s="2" t="s">
        <v>141</v>
      </c>
      <c r="AG39" s="2" t="s">
        <v>142</v>
      </c>
      <c r="AH39" s="7" t="n">
        <f aca="false">(O39='Labeling Rules'!$C$6)*'Labeling Rules'!$D$6+(Q39='Labeling Rules'!$C$7)*'Labeling Rules'!$D$7+(R39='Labeling Rules'!$C$8)*'Labeling Rules'!$D$8+(R39='Labeling Rules'!$C$9)*'Labeling Rules'!$D$9+(P39='Labeling Rules'!$C$10)*'Labeling Rules'!$D$10+(M39='Labeling Rules'!$C$11)*'Labeling Rules'!$D$11+(T39='Labeling Rules'!$C$12)*'Labeling Rules'!$D$12+(U39='Labeling Rules'!$C$13)*'Labeling Rules'!$D$13+(W39='Labeling Rules'!$C$14)*'Labeling Rules'!$D$14+(Y39='Labeling Rules'!$C$15)*'Labeling Rules'!$D$15</f>
        <v>1</v>
      </c>
      <c r="AI39" s="7" t="n">
        <f aca="false">IF(AH39&gt;='Labeling Rules'!$D$17,1,0)</f>
        <v>0</v>
      </c>
    </row>
    <row r="40" customFormat="false" ht="14.25" hidden="false" customHeight="false" outlineLevel="0" collapsed="false">
      <c r="A40" s="0" t="n">
        <v>39</v>
      </c>
      <c r="B40" s="6" t="n">
        <v>46158.9224652778</v>
      </c>
      <c r="C40" s="6" t="n">
        <v>46158.9251967593</v>
      </c>
      <c r="D40" s="1" t="s">
        <v>35</v>
      </c>
      <c r="F40" s="2" t="s">
        <v>36</v>
      </c>
      <c r="G40" s="2" t="s">
        <v>37</v>
      </c>
      <c r="H40" s="2" t="s">
        <v>38</v>
      </c>
      <c r="I40" s="2" t="s">
        <v>64</v>
      </c>
      <c r="J40" s="2" t="s">
        <v>65</v>
      </c>
      <c r="K40" s="2" t="s">
        <v>41</v>
      </c>
      <c r="L40" s="2" t="s">
        <v>42</v>
      </c>
      <c r="M40" s="2" t="s">
        <v>44</v>
      </c>
      <c r="N40" s="2" t="s">
        <v>44</v>
      </c>
      <c r="O40" s="2" t="s">
        <v>57</v>
      </c>
      <c r="P40" s="2" t="s">
        <v>42</v>
      </c>
      <c r="Q40" s="2" t="s">
        <v>46</v>
      </c>
      <c r="R40" s="2" t="s">
        <v>49</v>
      </c>
      <c r="S40" s="2" t="s">
        <v>47</v>
      </c>
      <c r="T40" s="2" t="s">
        <v>42</v>
      </c>
      <c r="U40" s="2" t="s">
        <v>49</v>
      </c>
      <c r="V40" s="2" t="s">
        <v>49</v>
      </c>
      <c r="W40" s="2" t="s">
        <v>48</v>
      </c>
      <c r="X40" s="2" t="s">
        <v>76</v>
      </c>
      <c r="Y40" s="2" t="s">
        <v>48</v>
      </c>
      <c r="Z40" s="2" t="s">
        <v>50</v>
      </c>
      <c r="AA40" s="2" t="s">
        <v>67</v>
      </c>
      <c r="AB40" s="2" t="s">
        <v>49</v>
      </c>
      <c r="AC40" s="1" t="s">
        <v>52</v>
      </c>
      <c r="AD40" s="2" t="s">
        <v>76</v>
      </c>
      <c r="AE40" s="2" t="s">
        <v>44</v>
      </c>
      <c r="AF40" s="2" t="s">
        <v>143</v>
      </c>
      <c r="AG40" s="2" t="s">
        <v>144</v>
      </c>
      <c r="AH40" s="7" t="n">
        <f aca="false">(O40='Labeling Rules'!$C$6)*'Labeling Rules'!$D$6+(Q40='Labeling Rules'!$C$7)*'Labeling Rules'!$D$7+(R40='Labeling Rules'!$C$8)*'Labeling Rules'!$D$8+(R40='Labeling Rules'!$C$9)*'Labeling Rules'!$D$9+(P40='Labeling Rules'!$C$10)*'Labeling Rules'!$D$10+(M40='Labeling Rules'!$C$11)*'Labeling Rules'!$D$11+(T40='Labeling Rules'!$C$12)*'Labeling Rules'!$D$12+(U40='Labeling Rules'!$C$13)*'Labeling Rules'!$D$13+(W40='Labeling Rules'!$C$14)*'Labeling Rules'!$D$14+(Y40='Labeling Rules'!$C$15)*'Labeling Rules'!$D$15</f>
        <v>3</v>
      </c>
      <c r="AI40" s="7" t="n">
        <f aca="false">IF(AH40&gt;='Labeling Rules'!$D$17,1,0)</f>
        <v>0</v>
      </c>
    </row>
    <row r="41" customFormat="false" ht="28.35" hidden="false" customHeight="false" outlineLevel="0" collapsed="false">
      <c r="A41" s="0" t="n">
        <v>40</v>
      </c>
      <c r="B41" s="6" t="n">
        <v>46158.9204976852</v>
      </c>
      <c r="C41" s="6" t="n">
        <v>46158.9253819444</v>
      </c>
      <c r="D41" s="1" t="s">
        <v>35</v>
      </c>
      <c r="F41" s="2" t="s">
        <v>36</v>
      </c>
      <c r="G41" s="2" t="s">
        <v>37</v>
      </c>
      <c r="H41" s="2" t="s">
        <v>38</v>
      </c>
      <c r="I41" s="2" t="s">
        <v>55</v>
      </c>
      <c r="J41" s="2" t="s">
        <v>56</v>
      </c>
      <c r="K41" s="2" t="s">
        <v>41</v>
      </c>
      <c r="L41" s="2" t="s">
        <v>42</v>
      </c>
      <c r="M41" s="2" t="s">
        <v>43</v>
      </c>
      <c r="N41" s="2" t="s">
        <v>43</v>
      </c>
      <c r="O41" s="2" t="s">
        <v>57</v>
      </c>
      <c r="P41" s="2" t="s">
        <v>76</v>
      </c>
      <c r="Q41" s="2" t="s">
        <v>81</v>
      </c>
      <c r="R41" s="2" t="s">
        <v>49</v>
      </c>
      <c r="S41" s="2" t="s">
        <v>47</v>
      </c>
      <c r="T41" s="2" t="s">
        <v>42</v>
      </c>
      <c r="U41" s="2" t="s">
        <v>49</v>
      </c>
      <c r="V41" s="2" t="s">
        <v>82</v>
      </c>
      <c r="W41" s="2" t="s">
        <v>48</v>
      </c>
      <c r="X41" s="2" t="s">
        <v>59</v>
      </c>
      <c r="Y41" s="2" t="s">
        <v>48</v>
      </c>
      <c r="Z41" s="2" t="s">
        <v>50</v>
      </c>
      <c r="AA41" s="2" t="s">
        <v>67</v>
      </c>
      <c r="AB41" s="2" t="s">
        <v>42</v>
      </c>
      <c r="AC41" s="1" t="s">
        <v>68</v>
      </c>
      <c r="AD41" s="2" t="s">
        <v>76</v>
      </c>
      <c r="AE41" s="2" t="s">
        <v>49</v>
      </c>
      <c r="AF41" s="1" t="s">
        <v>145</v>
      </c>
      <c r="AG41" s="4" t="s">
        <v>146</v>
      </c>
      <c r="AH41" s="7" t="n">
        <f aca="false">(O41='Labeling Rules'!$C$6)*'Labeling Rules'!$D$6+(Q41='Labeling Rules'!$C$7)*'Labeling Rules'!$D$7+(R41='Labeling Rules'!$C$8)*'Labeling Rules'!$D$8+(R41='Labeling Rules'!$C$9)*'Labeling Rules'!$D$9+(P41='Labeling Rules'!$C$10)*'Labeling Rules'!$D$10+(M41='Labeling Rules'!$C$11)*'Labeling Rules'!$D$11+(T41='Labeling Rules'!$C$12)*'Labeling Rules'!$D$12+(U41='Labeling Rules'!$C$13)*'Labeling Rules'!$D$13+(W41='Labeling Rules'!$C$14)*'Labeling Rules'!$D$14+(Y41='Labeling Rules'!$C$15)*'Labeling Rules'!$D$15</f>
        <v>4</v>
      </c>
      <c r="AI41" s="7" t="n">
        <f aca="false">IF(AH41&gt;='Labeling Rules'!$D$17,1,0)</f>
        <v>0</v>
      </c>
    </row>
    <row r="42" customFormat="false" ht="41.75" hidden="false" customHeight="false" outlineLevel="0" collapsed="false">
      <c r="A42" s="0" t="n">
        <v>41</v>
      </c>
      <c r="B42" s="6" t="n">
        <v>46158.9210648148</v>
      </c>
      <c r="C42" s="6" t="n">
        <v>46158.9296296296</v>
      </c>
      <c r="D42" s="1" t="s">
        <v>35</v>
      </c>
      <c r="F42" s="2" t="s">
        <v>36</v>
      </c>
      <c r="G42" s="2" t="s">
        <v>37</v>
      </c>
      <c r="H42" s="2" t="s">
        <v>38</v>
      </c>
      <c r="I42" s="2" t="s">
        <v>64</v>
      </c>
      <c r="J42" s="2" t="s">
        <v>56</v>
      </c>
      <c r="K42" s="2" t="s">
        <v>41</v>
      </c>
      <c r="L42" s="2" t="s">
        <v>42</v>
      </c>
      <c r="M42" s="2" t="s">
        <v>49</v>
      </c>
      <c r="N42" s="2" t="s">
        <v>74</v>
      </c>
      <c r="O42" s="2" t="s">
        <v>45</v>
      </c>
      <c r="P42" s="2" t="s">
        <v>76</v>
      </c>
      <c r="Q42" s="2" t="s">
        <v>46</v>
      </c>
      <c r="R42" s="2" t="s">
        <v>49</v>
      </c>
      <c r="S42" s="2" t="s">
        <v>47</v>
      </c>
      <c r="T42" s="2" t="s">
        <v>48</v>
      </c>
      <c r="U42" s="2" t="s">
        <v>49</v>
      </c>
      <c r="V42" s="2" t="s">
        <v>49</v>
      </c>
      <c r="W42" s="2" t="s">
        <v>48</v>
      </c>
      <c r="X42" s="2" t="s">
        <v>59</v>
      </c>
      <c r="Y42" s="2" t="s">
        <v>48</v>
      </c>
      <c r="Z42" s="2" t="s">
        <v>50</v>
      </c>
      <c r="AA42" s="2" t="s">
        <v>77</v>
      </c>
      <c r="AB42" s="2" t="s">
        <v>42</v>
      </c>
      <c r="AC42" s="1" t="s">
        <v>68</v>
      </c>
      <c r="AD42" s="2" t="s">
        <v>42</v>
      </c>
      <c r="AE42" s="2" t="s">
        <v>74</v>
      </c>
      <c r="AF42" s="4" t="s">
        <v>147</v>
      </c>
      <c r="AG42" s="2" t="s">
        <v>148</v>
      </c>
      <c r="AH42" s="7" t="n">
        <f aca="false">(O42='Labeling Rules'!$C$6)*'Labeling Rules'!$D$6+(Q42='Labeling Rules'!$C$7)*'Labeling Rules'!$D$7+(R42='Labeling Rules'!$C$8)*'Labeling Rules'!$D$8+(R42='Labeling Rules'!$C$9)*'Labeling Rules'!$D$9+(P42='Labeling Rules'!$C$10)*'Labeling Rules'!$D$10+(M42='Labeling Rules'!$C$11)*'Labeling Rules'!$D$11+(T42='Labeling Rules'!$C$12)*'Labeling Rules'!$D$12+(U42='Labeling Rules'!$C$13)*'Labeling Rules'!$D$13+(W42='Labeling Rules'!$C$14)*'Labeling Rules'!$D$14+(Y42='Labeling Rules'!$C$15)*'Labeling Rules'!$D$15</f>
        <v>3</v>
      </c>
      <c r="AI42" s="7" t="n">
        <f aca="false">IF(AH42&gt;='Labeling Rules'!$D$17,1,0)</f>
        <v>0</v>
      </c>
    </row>
    <row r="43" customFormat="false" ht="14.25" hidden="false" customHeight="false" outlineLevel="0" collapsed="false">
      <c r="A43" s="0" t="n">
        <v>42</v>
      </c>
      <c r="B43" s="6" t="n">
        <v>46158.9285648148</v>
      </c>
      <c r="C43" s="6" t="n">
        <v>46158.9310763889</v>
      </c>
      <c r="D43" s="1" t="s">
        <v>35</v>
      </c>
      <c r="F43" s="2" t="s">
        <v>63</v>
      </c>
      <c r="G43" s="2" t="s">
        <v>37</v>
      </c>
      <c r="H43" s="2" t="s">
        <v>38</v>
      </c>
      <c r="I43" s="2" t="s">
        <v>64</v>
      </c>
      <c r="J43" s="2" t="s">
        <v>56</v>
      </c>
      <c r="K43" s="2" t="s">
        <v>41</v>
      </c>
      <c r="L43" s="2" t="s">
        <v>42</v>
      </c>
      <c r="M43" s="2" t="s">
        <v>44</v>
      </c>
      <c r="N43" s="2" t="s">
        <v>44</v>
      </c>
      <c r="O43" s="2" t="s">
        <v>66</v>
      </c>
      <c r="P43" s="2" t="s">
        <v>42</v>
      </c>
      <c r="Q43" s="2" t="s">
        <v>46</v>
      </c>
      <c r="R43" s="2" t="s">
        <v>49</v>
      </c>
      <c r="S43" s="2" t="s">
        <v>48</v>
      </c>
      <c r="T43" s="2" t="s">
        <v>42</v>
      </c>
      <c r="U43" s="2" t="s">
        <v>49</v>
      </c>
      <c r="V43" s="2" t="s">
        <v>49</v>
      </c>
      <c r="W43" s="2" t="s">
        <v>48</v>
      </c>
      <c r="X43" s="2" t="s">
        <v>59</v>
      </c>
      <c r="Y43" s="2" t="s">
        <v>42</v>
      </c>
      <c r="Z43" s="2" t="s">
        <v>48</v>
      </c>
      <c r="AA43" s="2" t="s">
        <v>60</v>
      </c>
      <c r="AB43" s="2" t="s">
        <v>42</v>
      </c>
      <c r="AC43" s="1" t="s">
        <v>68</v>
      </c>
      <c r="AD43" s="2" t="s">
        <v>76</v>
      </c>
      <c r="AE43" s="2" t="s">
        <v>49</v>
      </c>
      <c r="AF43" s="2" t="s">
        <v>149</v>
      </c>
      <c r="AG43" s="2" t="s">
        <v>42</v>
      </c>
      <c r="AH43" s="7" t="n">
        <f aca="false">(O43='Labeling Rules'!$C$6)*'Labeling Rules'!$D$6+(Q43='Labeling Rules'!$C$7)*'Labeling Rules'!$D$7+(R43='Labeling Rules'!$C$8)*'Labeling Rules'!$D$8+(R43='Labeling Rules'!$C$9)*'Labeling Rules'!$D$9+(P43='Labeling Rules'!$C$10)*'Labeling Rules'!$D$10+(M43='Labeling Rules'!$C$11)*'Labeling Rules'!$D$11+(T43='Labeling Rules'!$C$12)*'Labeling Rules'!$D$12+(U43='Labeling Rules'!$C$13)*'Labeling Rules'!$D$13+(W43='Labeling Rules'!$C$14)*'Labeling Rules'!$D$14+(Y43='Labeling Rules'!$C$15)*'Labeling Rules'!$D$15</f>
        <v>4</v>
      </c>
      <c r="AI43" s="7" t="n">
        <f aca="false">IF(AH43&gt;='Labeling Rules'!$D$17,1,0)</f>
        <v>0</v>
      </c>
    </row>
    <row r="44" customFormat="false" ht="14.25" hidden="false" customHeight="false" outlineLevel="0" collapsed="false">
      <c r="A44" s="0" t="n">
        <v>43</v>
      </c>
      <c r="B44" s="6" t="n">
        <v>46158.9290740741</v>
      </c>
      <c r="C44" s="6" t="n">
        <v>46158.9311111111</v>
      </c>
      <c r="D44" s="1" t="s">
        <v>35</v>
      </c>
      <c r="F44" s="2" t="s">
        <v>36</v>
      </c>
      <c r="G44" s="2" t="s">
        <v>37</v>
      </c>
      <c r="H44" s="2" t="s">
        <v>38</v>
      </c>
      <c r="I44" s="2" t="s">
        <v>80</v>
      </c>
      <c r="J44" s="2" t="s">
        <v>56</v>
      </c>
      <c r="K44" s="2" t="s">
        <v>41</v>
      </c>
      <c r="L44" s="2" t="s">
        <v>42</v>
      </c>
      <c r="M44" s="2" t="s">
        <v>43</v>
      </c>
      <c r="N44" s="2" t="s">
        <v>43</v>
      </c>
      <c r="O44" s="2" t="s">
        <v>45</v>
      </c>
      <c r="P44" s="2" t="s">
        <v>76</v>
      </c>
      <c r="Q44" s="2" t="s">
        <v>58</v>
      </c>
      <c r="R44" s="2" t="s">
        <v>49</v>
      </c>
      <c r="S44" s="2" t="s">
        <v>47</v>
      </c>
      <c r="T44" s="2" t="s">
        <v>48</v>
      </c>
      <c r="U44" s="2" t="s">
        <v>48</v>
      </c>
      <c r="V44" s="2" t="s">
        <v>49</v>
      </c>
      <c r="W44" s="2" t="s">
        <v>48</v>
      </c>
      <c r="X44" s="2" t="s">
        <v>76</v>
      </c>
      <c r="Y44" s="2" t="s">
        <v>48</v>
      </c>
      <c r="Z44" s="2" t="s">
        <v>50</v>
      </c>
      <c r="AA44" s="2" t="s">
        <v>51</v>
      </c>
      <c r="AB44" s="2" t="s">
        <v>49</v>
      </c>
      <c r="AC44" s="1" t="s">
        <v>140</v>
      </c>
      <c r="AD44" s="2" t="s">
        <v>76</v>
      </c>
      <c r="AE44" s="2" t="s">
        <v>44</v>
      </c>
      <c r="AF44" s="1" t="s">
        <v>62</v>
      </c>
      <c r="AG44" s="1" t="s">
        <v>62</v>
      </c>
      <c r="AH44" s="7" t="n">
        <f aca="false">(O44='Labeling Rules'!$C$6)*'Labeling Rules'!$D$6+(Q44='Labeling Rules'!$C$7)*'Labeling Rules'!$D$7+(R44='Labeling Rules'!$C$8)*'Labeling Rules'!$D$8+(R44='Labeling Rules'!$C$9)*'Labeling Rules'!$D$9+(P44='Labeling Rules'!$C$10)*'Labeling Rules'!$D$10+(M44='Labeling Rules'!$C$11)*'Labeling Rules'!$D$11+(T44='Labeling Rules'!$C$12)*'Labeling Rules'!$D$12+(U44='Labeling Rules'!$C$13)*'Labeling Rules'!$D$13+(W44='Labeling Rules'!$C$14)*'Labeling Rules'!$D$14+(Y44='Labeling Rules'!$C$15)*'Labeling Rules'!$D$15</f>
        <v>4</v>
      </c>
      <c r="AI44" s="7" t="n">
        <f aca="false">IF(AH44&gt;='Labeling Rules'!$D$17,1,0)</f>
        <v>0</v>
      </c>
    </row>
    <row r="45" customFormat="false" ht="14.25" hidden="false" customHeight="false" outlineLevel="0" collapsed="false">
      <c r="A45" s="0" t="n">
        <v>44</v>
      </c>
      <c r="B45" s="6" t="n">
        <v>46158.9309027778</v>
      </c>
      <c r="C45" s="6" t="n">
        <v>46158.9336805556</v>
      </c>
      <c r="D45" s="1" t="s">
        <v>35</v>
      </c>
      <c r="F45" s="2" t="s">
        <v>36</v>
      </c>
      <c r="G45" s="2" t="s">
        <v>37</v>
      </c>
      <c r="H45" s="2" t="s">
        <v>38</v>
      </c>
      <c r="I45" s="2" t="s">
        <v>39</v>
      </c>
      <c r="J45" s="2" t="s">
        <v>150</v>
      </c>
      <c r="K45" s="2" t="s">
        <v>41</v>
      </c>
      <c r="L45" s="2" t="s">
        <v>42</v>
      </c>
      <c r="M45" s="2" t="s">
        <v>49</v>
      </c>
      <c r="N45" s="2" t="s">
        <v>74</v>
      </c>
      <c r="O45" s="2" t="s">
        <v>66</v>
      </c>
      <c r="P45" s="2" t="s">
        <v>76</v>
      </c>
      <c r="Q45" s="2" t="s">
        <v>46</v>
      </c>
      <c r="R45" s="2" t="s">
        <v>48</v>
      </c>
      <c r="S45" s="2" t="s">
        <v>47</v>
      </c>
      <c r="T45" s="2" t="s">
        <v>48</v>
      </c>
      <c r="U45" s="2" t="s">
        <v>49</v>
      </c>
      <c r="V45" s="2" t="s">
        <v>49</v>
      </c>
      <c r="W45" s="2" t="s">
        <v>48</v>
      </c>
      <c r="X45" s="2" t="s">
        <v>59</v>
      </c>
      <c r="Y45" s="2" t="s">
        <v>48</v>
      </c>
      <c r="Z45" s="2" t="s">
        <v>50</v>
      </c>
      <c r="AA45" s="2" t="s">
        <v>77</v>
      </c>
      <c r="AB45" s="2" t="s">
        <v>49</v>
      </c>
      <c r="AC45" s="1" t="s">
        <v>68</v>
      </c>
      <c r="AD45" s="2" t="s">
        <v>76</v>
      </c>
      <c r="AE45" s="2" t="s">
        <v>49</v>
      </c>
      <c r="AF45" s="2" t="s">
        <v>151</v>
      </c>
      <c r="AG45" s="2" t="s">
        <v>42</v>
      </c>
      <c r="AH45" s="7" t="n">
        <f aca="false">(O45='Labeling Rules'!$C$6)*'Labeling Rules'!$D$6+(Q45='Labeling Rules'!$C$7)*'Labeling Rules'!$D$7+(R45='Labeling Rules'!$C$8)*'Labeling Rules'!$D$8+(R45='Labeling Rules'!$C$9)*'Labeling Rules'!$D$9+(P45='Labeling Rules'!$C$10)*'Labeling Rules'!$D$10+(M45='Labeling Rules'!$C$11)*'Labeling Rules'!$D$11+(T45='Labeling Rules'!$C$12)*'Labeling Rules'!$D$12+(U45='Labeling Rules'!$C$13)*'Labeling Rules'!$D$13+(W45='Labeling Rules'!$C$14)*'Labeling Rules'!$D$14+(Y45='Labeling Rules'!$C$15)*'Labeling Rules'!$D$15</f>
        <v>0</v>
      </c>
      <c r="AI45" s="7" t="n">
        <f aca="false">IF(AH45&gt;='Labeling Rules'!$D$17,1,0)</f>
        <v>0</v>
      </c>
    </row>
    <row r="46" customFormat="false" ht="14.25" hidden="false" customHeight="false" outlineLevel="0" collapsed="false">
      <c r="A46" s="0" t="n">
        <v>45</v>
      </c>
      <c r="B46" s="6" t="n">
        <v>46158.9309606482</v>
      </c>
      <c r="C46" s="6" t="n">
        <v>46158.9339467593</v>
      </c>
      <c r="D46" s="1" t="s">
        <v>35</v>
      </c>
      <c r="F46" s="2" t="s">
        <v>63</v>
      </c>
      <c r="G46" s="2" t="s">
        <v>73</v>
      </c>
      <c r="H46" s="2" t="s">
        <v>38</v>
      </c>
      <c r="I46" s="2" t="s">
        <v>64</v>
      </c>
      <c r="J46" s="2" t="s">
        <v>56</v>
      </c>
      <c r="K46" s="2" t="s">
        <v>97</v>
      </c>
      <c r="L46" s="2" t="s">
        <v>42</v>
      </c>
      <c r="M46" s="2" t="s">
        <v>43</v>
      </c>
      <c r="N46" s="2" t="s">
        <v>74</v>
      </c>
      <c r="O46" s="2" t="s">
        <v>66</v>
      </c>
      <c r="P46" s="2" t="s">
        <v>42</v>
      </c>
      <c r="Q46" s="2" t="s">
        <v>58</v>
      </c>
      <c r="R46" s="2" t="s">
        <v>42</v>
      </c>
      <c r="S46" s="2" t="s">
        <v>42</v>
      </c>
      <c r="T46" s="2" t="s">
        <v>42</v>
      </c>
      <c r="U46" s="2" t="s">
        <v>44</v>
      </c>
      <c r="V46" s="2" t="s">
        <v>49</v>
      </c>
      <c r="W46" s="2" t="s">
        <v>42</v>
      </c>
      <c r="X46" s="2" t="s">
        <v>59</v>
      </c>
      <c r="Y46" s="2" t="s">
        <v>48</v>
      </c>
      <c r="Z46" s="2" t="s">
        <v>50</v>
      </c>
      <c r="AA46" s="2" t="s">
        <v>77</v>
      </c>
      <c r="AB46" s="2" t="s">
        <v>42</v>
      </c>
      <c r="AC46" s="1" t="s">
        <v>68</v>
      </c>
      <c r="AD46" s="2" t="s">
        <v>42</v>
      </c>
      <c r="AE46" s="2" t="s">
        <v>49</v>
      </c>
      <c r="AF46" s="1" t="s">
        <v>62</v>
      </c>
      <c r="AG46" s="1" t="s">
        <v>62</v>
      </c>
      <c r="AH46" s="7" t="n">
        <f aca="false">(O46='Labeling Rules'!$C$6)*'Labeling Rules'!$D$6+(Q46='Labeling Rules'!$C$7)*'Labeling Rules'!$D$7+(R46='Labeling Rules'!$C$8)*'Labeling Rules'!$D$8+(R46='Labeling Rules'!$C$9)*'Labeling Rules'!$D$9+(P46='Labeling Rules'!$C$10)*'Labeling Rules'!$D$10+(M46='Labeling Rules'!$C$11)*'Labeling Rules'!$D$11+(T46='Labeling Rules'!$C$12)*'Labeling Rules'!$D$12+(U46='Labeling Rules'!$C$13)*'Labeling Rules'!$D$13+(W46='Labeling Rules'!$C$14)*'Labeling Rules'!$D$14+(Y46='Labeling Rules'!$C$15)*'Labeling Rules'!$D$15</f>
        <v>4</v>
      </c>
      <c r="AI46" s="7" t="n">
        <f aca="false">IF(AH46&gt;='Labeling Rules'!$D$17,1,0)</f>
        <v>0</v>
      </c>
    </row>
    <row r="47" customFormat="false" ht="28.35" hidden="false" customHeight="false" outlineLevel="0" collapsed="false">
      <c r="A47" s="0" t="n">
        <v>46</v>
      </c>
      <c r="B47" s="6" t="n">
        <v>46158.9354976852</v>
      </c>
      <c r="C47" s="6" t="n">
        <v>46158.9412615741</v>
      </c>
      <c r="D47" s="1" t="s">
        <v>35</v>
      </c>
      <c r="F47" s="2" t="s">
        <v>36</v>
      </c>
      <c r="G47" s="2" t="s">
        <v>37</v>
      </c>
      <c r="H47" s="2" t="s">
        <v>38</v>
      </c>
      <c r="I47" s="2" t="s">
        <v>39</v>
      </c>
      <c r="J47" s="2" t="s">
        <v>65</v>
      </c>
      <c r="K47" s="2" t="s">
        <v>41</v>
      </c>
      <c r="L47" s="2" t="s">
        <v>42</v>
      </c>
      <c r="M47" s="2" t="s">
        <v>44</v>
      </c>
      <c r="N47" s="2" t="s">
        <v>43</v>
      </c>
      <c r="O47" s="2" t="s">
        <v>66</v>
      </c>
      <c r="P47" s="2" t="s">
        <v>42</v>
      </c>
      <c r="Q47" s="2" t="s">
        <v>46</v>
      </c>
      <c r="R47" s="2" t="s">
        <v>42</v>
      </c>
      <c r="S47" s="2" t="s">
        <v>47</v>
      </c>
      <c r="T47" s="2" t="s">
        <v>42</v>
      </c>
      <c r="U47" s="2" t="s">
        <v>44</v>
      </c>
      <c r="V47" s="2" t="s">
        <v>82</v>
      </c>
      <c r="W47" s="2" t="s">
        <v>48</v>
      </c>
      <c r="X47" s="2" t="s">
        <v>59</v>
      </c>
      <c r="Y47" s="2" t="s">
        <v>42</v>
      </c>
      <c r="Z47" s="2" t="s">
        <v>83</v>
      </c>
      <c r="AA47" s="2" t="s">
        <v>77</v>
      </c>
      <c r="AB47" s="2" t="s">
        <v>49</v>
      </c>
      <c r="AC47" s="1" t="s">
        <v>52</v>
      </c>
      <c r="AD47" s="2" t="s">
        <v>42</v>
      </c>
      <c r="AE47" s="2" t="s">
        <v>49</v>
      </c>
      <c r="AF47" s="4" t="s">
        <v>152</v>
      </c>
      <c r="AG47" s="1" t="s">
        <v>94</v>
      </c>
      <c r="AH47" s="7" t="n">
        <f aca="false">(O47='Labeling Rules'!$C$6)*'Labeling Rules'!$D$6+(Q47='Labeling Rules'!$C$7)*'Labeling Rules'!$D$7+(R47='Labeling Rules'!$C$8)*'Labeling Rules'!$D$8+(R47='Labeling Rules'!$C$9)*'Labeling Rules'!$D$9+(P47='Labeling Rules'!$C$10)*'Labeling Rules'!$D$10+(M47='Labeling Rules'!$C$11)*'Labeling Rules'!$D$11+(T47='Labeling Rules'!$C$12)*'Labeling Rules'!$D$12+(U47='Labeling Rules'!$C$13)*'Labeling Rules'!$D$13+(W47='Labeling Rules'!$C$14)*'Labeling Rules'!$D$14+(Y47='Labeling Rules'!$C$15)*'Labeling Rules'!$D$15</f>
        <v>5</v>
      </c>
      <c r="AI47" s="7" t="n">
        <f aca="false">IF(AH47&gt;='Labeling Rules'!$D$17,1,0)</f>
        <v>1</v>
      </c>
    </row>
    <row r="48" customFormat="false" ht="14.25" hidden="false" customHeight="false" outlineLevel="0" collapsed="false">
      <c r="A48" s="0" t="n">
        <v>47</v>
      </c>
      <c r="B48" s="6" t="n">
        <v>46158.9396990741</v>
      </c>
      <c r="C48" s="6" t="n">
        <v>46158.945</v>
      </c>
      <c r="D48" s="1" t="s">
        <v>35</v>
      </c>
      <c r="F48" s="2" t="s">
        <v>36</v>
      </c>
      <c r="G48" s="2" t="s">
        <v>37</v>
      </c>
      <c r="H48" s="2" t="s">
        <v>38</v>
      </c>
      <c r="I48" s="2" t="s">
        <v>39</v>
      </c>
      <c r="J48" s="2" t="s">
        <v>65</v>
      </c>
      <c r="K48" s="2" t="s">
        <v>41</v>
      </c>
      <c r="L48" s="2" t="s">
        <v>42</v>
      </c>
      <c r="M48" s="2" t="s">
        <v>43</v>
      </c>
      <c r="N48" s="2" t="s">
        <v>49</v>
      </c>
      <c r="O48" s="2" t="s">
        <v>45</v>
      </c>
      <c r="P48" s="2" t="s">
        <v>42</v>
      </c>
      <c r="Q48" s="2" t="s">
        <v>46</v>
      </c>
      <c r="R48" s="2" t="s">
        <v>49</v>
      </c>
      <c r="S48" s="2" t="s">
        <v>47</v>
      </c>
      <c r="T48" s="2" t="s">
        <v>42</v>
      </c>
      <c r="U48" s="2" t="s">
        <v>49</v>
      </c>
      <c r="V48" s="2" t="s">
        <v>74</v>
      </c>
      <c r="W48" s="2" t="s">
        <v>48</v>
      </c>
      <c r="X48" s="2" t="s">
        <v>59</v>
      </c>
      <c r="Y48" s="2" t="s">
        <v>48</v>
      </c>
      <c r="Z48" s="2" t="s">
        <v>50</v>
      </c>
      <c r="AA48" s="2" t="s">
        <v>67</v>
      </c>
      <c r="AB48" s="2" t="s">
        <v>49</v>
      </c>
      <c r="AC48" s="1" t="s">
        <v>87</v>
      </c>
      <c r="AD48" s="2" t="s">
        <v>48</v>
      </c>
      <c r="AE48" s="2" t="s">
        <v>49</v>
      </c>
      <c r="AF48" s="2" t="s">
        <v>153</v>
      </c>
      <c r="AG48" s="2" t="s">
        <v>154</v>
      </c>
      <c r="AH48" s="7" t="n">
        <f aca="false">(O48='Labeling Rules'!$C$6)*'Labeling Rules'!$D$6+(Q48='Labeling Rules'!$C$7)*'Labeling Rules'!$D$7+(R48='Labeling Rules'!$C$8)*'Labeling Rules'!$D$8+(R48='Labeling Rules'!$C$9)*'Labeling Rules'!$D$9+(P48='Labeling Rules'!$C$10)*'Labeling Rules'!$D$10+(M48='Labeling Rules'!$C$11)*'Labeling Rules'!$D$11+(T48='Labeling Rules'!$C$12)*'Labeling Rules'!$D$12+(U48='Labeling Rules'!$C$13)*'Labeling Rules'!$D$13+(W48='Labeling Rules'!$C$14)*'Labeling Rules'!$D$14+(Y48='Labeling Rules'!$C$15)*'Labeling Rules'!$D$15</f>
        <v>4</v>
      </c>
      <c r="AI48" s="7" t="n">
        <f aca="false">IF(AH48&gt;='Labeling Rules'!$D$17,1,0)</f>
        <v>0</v>
      </c>
    </row>
    <row r="49" customFormat="false" ht="14.25" hidden="false" customHeight="false" outlineLevel="0" collapsed="false">
      <c r="A49" s="0" t="n">
        <v>48</v>
      </c>
      <c r="B49" s="6" t="n">
        <v>46158.9518287037</v>
      </c>
      <c r="C49" s="6" t="n">
        <v>46158.9531018519</v>
      </c>
      <c r="D49" s="1" t="s">
        <v>35</v>
      </c>
      <c r="F49" s="2" t="s">
        <v>63</v>
      </c>
      <c r="G49" s="2" t="s">
        <v>137</v>
      </c>
      <c r="H49" s="2" t="s">
        <v>38</v>
      </c>
      <c r="I49" s="2" t="s">
        <v>155</v>
      </c>
      <c r="J49" s="2" t="s">
        <v>56</v>
      </c>
      <c r="K49" s="2" t="s">
        <v>97</v>
      </c>
      <c r="L49" s="2" t="s">
        <v>42</v>
      </c>
      <c r="M49" s="2" t="s">
        <v>49</v>
      </c>
      <c r="N49" s="2" t="s">
        <v>43</v>
      </c>
      <c r="O49" s="2" t="s">
        <v>66</v>
      </c>
      <c r="P49" s="2" t="s">
        <v>76</v>
      </c>
      <c r="Q49" s="2" t="s">
        <v>58</v>
      </c>
      <c r="R49" s="2" t="s">
        <v>42</v>
      </c>
      <c r="S49" s="2" t="s">
        <v>47</v>
      </c>
      <c r="T49" s="2" t="s">
        <v>48</v>
      </c>
      <c r="U49" s="2" t="s">
        <v>49</v>
      </c>
      <c r="V49" s="2" t="s">
        <v>82</v>
      </c>
      <c r="W49" s="2" t="s">
        <v>42</v>
      </c>
      <c r="X49" s="2" t="s">
        <v>59</v>
      </c>
      <c r="Y49" s="2" t="s">
        <v>48</v>
      </c>
      <c r="Z49" s="2" t="s">
        <v>83</v>
      </c>
      <c r="AA49" s="2" t="s">
        <v>77</v>
      </c>
      <c r="AB49" s="2" t="s">
        <v>49</v>
      </c>
      <c r="AC49" s="1" t="s">
        <v>68</v>
      </c>
      <c r="AD49" s="2" t="s">
        <v>76</v>
      </c>
      <c r="AE49" s="2" t="s">
        <v>44</v>
      </c>
      <c r="AF49" s="1" t="s">
        <v>62</v>
      </c>
      <c r="AG49" s="1" t="s">
        <v>62</v>
      </c>
      <c r="AH49" s="7" t="n">
        <f aca="false">(O49='Labeling Rules'!$C$6)*'Labeling Rules'!$D$6+(Q49='Labeling Rules'!$C$7)*'Labeling Rules'!$D$7+(R49='Labeling Rules'!$C$8)*'Labeling Rules'!$D$8+(R49='Labeling Rules'!$C$9)*'Labeling Rules'!$D$9+(P49='Labeling Rules'!$C$10)*'Labeling Rules'!$D$10+(M49='Labeling Rules'!$C$11)*'Labeling Rules'!$D$11+(T49='Labeling Rules'!$C$12)*'Labeling Rules'!$D$12+(U49='Labeling Rules'!$C$13)*'Labeling Rules'!$D$13+(W49='Labeling Rules'!$C$14)*'Labeling Rules'!$D$14+(Y49='Labeling Rules'!$C$15)*'Labeling Rules'!$D$15</f>
        <v>3</v>
      </c>
      <c r="AI49" s="7" t="n">
        <f aca="false">IF(AH49&gt;='Labeling Rules'!$D$17,1,0)</f>
        <v>0</v>
      </c>
    </row>
    <row r="50" customFormat="false" ht="23.85" hidden="false" customHeight="false" outlineLevel="0" collapsed="false">
      <c r="A50" s="0" t="n">
        <v>49</v>
      </c>
      <c r="B50" s="6" t="n">
        <v>46158.9516782407</v>
      </c>
      <c r="C50" s="6" t="n">
        <v>46158.9534722222</v>
      </c>
      <c r="D50" s="1" t="s">
        <v>35</v>
      </c>
      <c r="F50" s="2" t="s">
        <v>36</v>
      </c>
      <c r="G50" s="2" t="s">
        <v>37</v>
      </c>
      <c r="H50" s="2" t="s">
        <v>38</v>
      </c>
      <c r="I50" s="2" t="s">
        <v>55</v>
      </c>
      <c r="J50" s="2" t="s">
        <v>56</v>
      </c>
      <c r="K50" s="2" t="s">
        <v>97</v>
      </c>
      <c r="L50" s="2" t="s">
        <v>42</v>
      </c>
      <c r="M50" s="2" t="s">
        <v>44</v>
      </c>
      <c r="N50" s="2" t="s">
        <v>74</v>
      </c>
      <c r="O50" s="2" t="s">
        <v>45</v>
      </c>
      <c r="P50" s="2" t="s">
        <v>42</v>
      </c>
      <c r="Q50" s="2" t="s">
        <v>58</v>
      </c>
      <c r="R50" s="2" t="s">
        <v>49</v>
      </c>
      <c r="S50" s="2" t="s">
        <v>47</v>
      </c>
      <c r="T50" s="2" t="s">
        <v>48</v>
      </c>
      <c r="U50" s="2" t="s">
        <v>44</v>
      </c>
      <c r="V50" s="2" t="s">
        <v>82</v>
      </c>
      <c r="W50" s="2" t="s">
        <v>48</v>
      </c>
      <c r="X50" s="2" t="s">
        <v>76</v>
      </c>
      <c r="Y50" s="2" t="s">
        <v>48</v>
      </c>
      <c r="Z50" s="2" t="s">
        <v>50</v>
      </c>
      <c r="AA50" s="2" t="s">
        <v>67</v>
      </c>
      <c r="AB50" s="2" t="s">
        <v>49</v>
      </c>
      <c r="AC50" s="1" t="s">
        <v>87</v>
      </c>
      <c r="AD50" s="2" t="s">
        <v>76</v>
      </c>
      <c r="AE50" s="2" t="s">
        <v>75</v>
      </c>
      <c r="AF50" s="3" t="s">
        <v>156</v>
      </c>
      <c r="AG50" s="2" t="s">
        <v>48</v>
      </c>
      <c r="AH50" s="7" t="n">
        <f aca="false">(O50='Labeling Rules'!$C$6)*'Labeling Rules'!$D$6+(Q50='Labeling Rules'!$C$7)*'Labeling Rules'!$D$7+(R50='Labeling Rules'!$C$8)*'Labeling Rules'!$D$8+(R50='Labeling Rules'!$C$9)*'Labeling Rules'!$D$9+(P50='Labeling Rules'!$C$10)*'Labeling Rules'!$D$10+(M50='Labeling Rules'!$C$11)*'Labeling Rules'!$D$11+(T50='Labeling Rules'!$C$12)*'Labeling Rules'!$D$12+(U50='Labeling Rules'!$C$13)*'Labeling Rules'!$D$13+(W50='Labeling Rules'!$C$14)*'Labeling Rules'!$D$14+(Y50='Labeling Rules'!$C$15)*'Labeling Rules'!$D$15</f>
        <v>4</v>
      </c>
      <c r="AI50" s="7" t="n">
        <f aca="false">IF(AH50&gt;='Labeling Rules'!$D$17,1,0)</f>
        <v>0</v>
      </c>
    </row>
    <row r="51" customFormat="false" ht="14.25" hidden="false" customHeight="false" outlineLevel="0" collapsed="false">
      <c r="A51" s="0" t="n">
        <v>50</v>
      </c>
      <c r="B51" s="6" t="n">
        <v>46158.952025463</v>
      </c>
      <c r="C51" s="6" t="n">
        <v>46158.9545717593</v>
      </c>
      <c r="D51" s="1" t="s">
        <v>35</v>
      </c>
      <c r="F51" s="2" t="s">
        <v>36</v>
      </c>
      <c r="G51" s="2" t="s">
        <v>37</v>
      </c>
      <c r="H51" s="2" t="s">
        <v>38</v>
      </c>
      <c r="I51" s="2" t="s">
        <v>80</v>
      </c>
      <c r="J51" s="2" t="s">
        <v>56</v>
      </c>
      <c r="K51" s="2" t="s">
        <v>41</v>
      </c>
      <c r="L51" s="2" t="s">
        <v>42</v>
      </c>
      <c r="M51" s="2" t="s">
        <v>44</v>
      </c>
      <c r="N51" s="2" t="s">
        <v>43</v>
      </c>
      <c r="O51" s="2" t="s">
        <v>45</v>
      </c>
      <c r="P51" s="2" t="s">
        <v>76</v>
      </c>
      <c r="Q51" s="2" t="s">
        <v>81</v>
      </c>
      <c r="R51" s="2" t="s">
        <v>42</v>
      </c>
      <c r="S51" s="2" t="s">
        <v>47</v>
      </c>
      <c r="T51" s="2" t="s">
        <v>42</v>
      </c>
      <c r="U51" s="2" t="s">
        <v>49</v>
      </c>
      <c r="V51" s="2" t="s">
        <v>49</v>
      </c>
      <c r="W51" s="2" t="s">
        <v>42</v>
      </c>
      <c r="X51" s="2" t="s">
        <v>59</v>
      </c>
      <c r="Y51" s="2" t="s">
        <v>48</v>
      </c>
      <c r="Z51" s="2" t="s">
        <v>50</v>
      </c>
      <c r="AA51" s="2" t="s">
        <v>67</v>
      </c>
      <c r="AB51" s="2" t="s">
        <v>49</v>
      </c>
      <c r="AC51" s="1" t="s">
        <v>78</v>
      </c>
      <c r="AD51" s="2" t="s">
        <v>76</v>
      </c>
      <c r="AE51" s="2" t="s">
        <v>49</v>
      </c>
      <c r="AF51" s="2" t="s">
        <v>157</v>
      </c>
      <c r="AG51" s="2" t="s">
        <v>48</v>
      </c>
      <c r="AH51" s="7" t="n">
        <f aca="false">(O51='Labeling Rules'!$C$6)*'Labeling Rules'!$D$6+(Q51='Labeling Rules'!$C$7)*'Labeling Rules'!$D$7+(R51='Labeling Rules'!$C$8)*'Labeling Rules'!$D$8+(R51='Labeling Rules'!$C$9)*'Labeling Rules'!$D$9+(P51='Labeling Rules'!$C$10)*'Labeling Rules'!$D$10+(M51='Labeling Rules'!$C$11)*'Labeling Rules'!$D$11+(T51='Labeling Rules'!$C$12)*'Labeling Rules'!$D$12+(U51='Labeling Rules'!$C$13)*'Labeling Rules'!$D$13+(W51='Labeling Rules'!$C$14)*'Labeling Rules'!$D$14+(Y51='Labeling Rules'!$C$15)*'Labeling Rules'!$D$15</f>
        <v>9</v>
      </c>
      <c r="AI51" s="7" t="n">
        <f aca="false">IF(AH51&gt;='Labeling Rules'!$D$17,1,0)</f>
        <v>1</v>
      </c>
    </row>
    <row r="52" customFormat="false" ht="14.25" hidden="false" customHeight="false" outlineLevel="0" collapsed="false">
      <c r="A52" s="0" t="n">
        <v>51</v>
      </c>
      <c r="B52" s="6" t="n">
        <v>46158.9562847222</v>
      </c>
      <c r="C52" s="6" t="n">
        <v>46158.9578356482</v>
      </c>
      <c r="D52" s="1" t="s">
        <v>35</v>
      </c>
      <c r="F52" s="2" t="s">
        <v>36</v>
      </c>
      <c r="G52" s="2" t="s">
        <v>137</v>
      </c>
      <c r="H52" s="2" t="s">
        <v>38</v>
      </c>
      <c r="I52" s="2" t="s">
        <v>64</v>
      </c>
      <c r="J52" s="2" t="s">
        <v>65</v>
      </c>
      <c r="K52" s="2" t="s">
        <v>41</v>
      </c>
      <c r="L52" s="2" t="s">
        <v>42</v>
      </c>
      <c r="M52" s="2" t="s">
        <v>44</v>
      </c>
      <c r="N52" s="2" t="s">
        <v>43</v>
      </c>
      <c r="O52" s="2" t="s">
        <v>66</v>
      </c>
      <c r="P52" s="2" t="s">
        <v>42</v>
      </c>
      <c r="Q52" s="2" t="s">
        <v>58</v>
      </c>
      <c r="R52" s="2" t="s">
        <v>42</v>
      </c>
      <c r="S52" s="2" t="s">
        <v>48</v>
      </c>
      <c r="T52" s="2" t="s">
        <v>48</v>
      </c>
      <c r="U52" s="2" t="s">
        <v>44</v>
      </c>
      <c r="V52" s="2" t="s">
        <v>49</v>
      </c>
      <c r="W52" s="2" t="s">
        <v>48</v>
      </c>
      <c r="X52" s="2" t="s">
        <v>59</v>
      </c>
      <c r="Y52" s="2" t="s">
        <v>48</v>
      </c>
      <c r="Z52" s="2" t="s">
        <v>50</v>
      </c>
      <c r="AA52" s="2" t="s">
        <v>67</v>
      </c>
      <c r="AB52" s="2" t="s">
        <v>42</v>
      </c>
      <c r="AC52" s="1" t="s">
        <v>68</v>
      </c>
      <c r="AD52" s="2" t="s">
        <v>42</v>
      </c>
      <c r="AE52" s="2" t="s">
        <v>49</v>
      </c>
      <c r="AF52" s="2" t="s">
        <v>158</v>
      </c>
      <c r="AG52" s="2" t="s">
        <v>42</v>
      </c>
      <c r="AH52" s="7" t="n">
        <f aca="false">(O52='Labeling Rules'!$C$6)*'Labeling Rules'!$D$6+(Q52='Labeling Rules'!$C$7)*'Labeling Rules'!$D$7+(R52='Labeling Rules'!$C$8)*'Labeling Rules'!$D$8+(R52='Labeling Rules'!$C$9)*'Labeling Rules'!$D$9+(P52='Labeling Rules'!$C$10)*'Labeling Rules'!$D$10+(M52='Labeling Rules'!$C$11)*'Labeling Rules'!$D$11+(T52='Labeling Rules'!$C$12)*'Labeling Rules'!$D$12+(U52='Labeling Rules'!$C$13)*'Labeling Rules'!$D$13+(W52='Labeling Rules'!$C$14)*'Labeling Rules'!$D$14+(Y52='Labeling Rules'!$C$15)*'Labeling Rules'!$D$15</f>
        <v>3</v>
      </c>
      <c r="AI52" s="7" t="n">
        <f aca="false">IF(AH52&gt;='Labeling Rules'!$D$17,1,0)</f>
        <v>0</v>
      </c>
    </row>
    <row r="53" customFormat="false" ht="14.25" hidden="false" customHeight="false" outlineLevel="0" collapsed="false">
      <c r="A53" s="0" t="n">
        <v>52</v>
      </c>
      <c r="B53" s="6" t="n">
        <v>46158.9578587963</v>
      </c>
      <c r="C53" s="6" t="n">
        <v>46158.9601851852</v>
      </c>
      <c r="D53" s="1" t="s">
        <v>35</v>
      </c>
      <c r="F53" s="2" t="s">
        <v>63</v>
      </c>
      <c r="G53" s="2" t="s">
        <v>37</v>
      </c>
      <c r="H53" s="2" t="s">
        <v>38</v>
      </c>
      <c r="I53" s="2" t="s">
        <v>64</v>
      </c>
      <c r="J53" s="2" t="s">
        <v>56</v>
      </c>
      <c r="K53" s="2" t="s">
        <v>41</v>
      </c>
      <c r="L53" s="2" t="s">
        <v>42</v>
      </c>
      <c r="M53" s="2" t="s">
        <v>43</v>
      </c>
      <c r="N53" s="2" t="s">
        <v>49</v>
      </c>
      <c r="O53" s="2" t="s">
        <v>66</v>
      </c>
      <c r="P53" s="2" t="s">
        <v>76</v>
      </c>
      <c r="Q53" s="2" t="s">
        <v>58</v>
      </c>
      <c r="R53" s="2" t="s">
        <v>49</v>
      </c>
      <c r="S53" s="2" t="s">
        <v>48</v>
      </c>
      <c r="T53" s="2" t="s">
        <v>42</v>
      </c>
      <c r="U53" s="2" t="s">
        <v>49</v>
      </c>
      <c r="V53" s="2" t="s">
        <v>49</v>
      </c>
      <c r="W53" s="2" t="s">
        <v>42</v>
      </c>
      <c r="X53" s="2" t="s">
        <v>76</v>
      </c>
      <c r="Y53" s="2" t="s">
        <v>42</v>
      </c>
      <c r="Z53" s="2" t="s">
        <v>48</v>
      </c>
      <c r="AA53" s="2" t="s">
        <v>77</v>
      </c>
      <c r="AB53" s="2" t="s">
        <v>49</v>
      </c>
      <c r="AC53" s="1" t="s">
        <v>68</v>
      </c>
      <c r="AD53" s="2" t="s">
        <v>76</v>
      </c>
      <c r="AE53" s="2" t="s">
        <v>49</v>
      </c>
      <c r="AF53" s="2" t="s">
        <v>42</v>
      </c>
      <c r="AG53" s="2" t="s">
        <v>48</v>
      </c>
      <c r="AH53" s="7" t="n">
        <f aca="false">(O53='Labeling Rules'!$C$6)*'Labeling Rules'!$D$6+(Q53='Labeling Rules'!$C$7)*'Labeling Rules'!$D$7+(R53='Labeling Rules'!$C$8)*'Labeling Rules'!$D$8+(R53='Labeling Rules'!$C$9)*'Labeling Rules'!$D$9+(P53='Labeling Rules'!$C$10)*'Labeling Rules'!$D$10+(M53='Labeling Rules'!$C$11)*'Labeling Rules'!$D$11+(T53='Labeling Rules'!$C$12)*'Labeling Rules'!$D$12+(U53='Labeling Rules'!$C$13)*'Labeling Rules'!$D$13+(W53='Labeling Rules'!$C$14)*'Labeling Rules'!$D$14+(Y53='Labeling Rules'!$C$15)*'Labeling Rules'!$D$15</f>
        <v>4</v>
      </c>
      <c r="AI53" s="7" t="n">
        <f aca="false">IF(AH53&gt;='Labeling Rules'!$D$17,1,0)</f>
        <v>0</v>
      </c>
    </row>
    <row r="54" customFormat="false" ht="14.25" hidden="false" customHeight="false" outlineLevel="0" collapsed="false">
      <c r="A54" s="0" t="n">
        <v>53</v>
      </c>
      <c r="B54" s="6" t="n">
        <v>46158.9587731482</v>
      </c>
      <c r="C54" s="6" t="n">
        <v>46158.9628009259</v>
      </c>
      <c r="D54" s="1" t="s">
        <v>35</v>
      </c>
      <c r="F54" s="2" t="s">
        <v>36</v>
      </c>
      <c r="G54" s="2" t="s">
        <v>37</v>
      </c>
      <c r="H54" s="2" t="s">
        <v>38</v>
      </c>
      <c r="I54" s="2" t="s">
        <v>155</v>
      </c>
      <c r="J54" s="2" t="s">
        <v>56</v>
      </c>
      <c r="K54" s="2" t="s">
        <v>97</v>
      </c>
      <c r="L54" s="2" t="s">
        <v>42</v>
      </c>
      <c r="M54" s="2" t="s">
        <v>43</v>
      </c>
      <c r="N54" s="2" t="s">
        <v>49</v>
      </c>
      <c r="O54" s="2" t="s">
        <v>66</v>
      </c>
      <c r="P54" s="2" t="s">
        <v>42</v>
      </c>
      <c r="Q54" s="2" t="s">
        <v>58</v>
      </c>
      <c r="R54" s="2" t="s">
        <v>49</v>
      </c>
      <c r="S54" s="2" t="s">
        <v>42</v>
      </c>
      <c r="T54" s="2" t="s">
        <v>48</v>
      </c>
      <c r="U54" s="2" t="s">
        <v>49</v>
      </c>
      <c r="V54" s="2" t="s">
        <v>82</v>
      </c>
      <c r="W54" s="2" t="s">
        <v>48</v>
      </c>
      <c r="X54" s="2" t="s">
        <v>59</v>
      </c>
      <c r="Y54" s="2" t="s">
        <v>48</v>
      </c>
      <c r="Z54" s="2" t="s">
        <v>50</v>
      </c>
      <c r="AA54" s="2" t="s">
        <v>67</v>
      </c>
      <c r="AB54" s="2" t="s">
        <v>48</v>
      </c>
      <c r="AC54" s="1" t="s">
        <v>78</v>
      </c>
      <c r="AD54" s="2" t="s">
        <v>42</v>
      </c>
      <c r="AE54" s="2" t="s">
        <v>49</v>
      </c>
      <c r="AF54" s="2" t="s">
        <v>159</v>
      </c>
      <c r="AG54" s="2" t="s">
        <v>160</v>
      </c>
      <c r="AH54" s="7" t="n">
        <f aca="false">(O54='Labeling Rules'!$C$6)*'Labeling Rules'!$D$6+(Q54='Labeling Rules'!$C$7)*'Labeling Rules'!$D$7+(R54='Labeling Rules'!$C$8)*'Labeling Rules'!$D$8+(R54='Labeling Rules'!$C$9)*'Labeling Rules'!$D$9+(P54='Labeling Rules'!$C$10)*'Labeling Rules'!$D$10+(M54='Labeling Rules'!$C$11)*'Labeling Rules'!$D$11+(T54='Labeling Rules'!$C$12)*'Labeling Rules'!$D$12+(U54='Labeling Rules'!$C$13)*'Labeling Rules'!$D$13+(W54='Labeling Rules'!$C$14)*'Labeling Rules'!$D$14+(Y54='Labeling Rules'!$C$15)*'Labeling Rules'!$D$15</f>
        <v>1</v>
      </c>
      <c r="AI54" s="7" t="n">
        <f aca="false">IF(AH54&gt;='Labeling Rules'!$D$17,1,0)</f>
        <v>0</v>
      </c>
    </row>
    <row r="55" customFormat="false" ht="14.25" hidden="false" customHeight="false" outlineLevel="0" collapsed="false">
      <c r="A55" s="0" t="n">
        <v>54</v>
      </c>
      <c r="B55" s="6" t="n">
        <v>46158.9604282407</v>
      </c>
      <c r="C55" s="6" t="n">
        <v>46158.9649074074</v>
      </c>
      <c r="D55" s="1" t="s">
        <v>35</v>
      </c>
      <c r="F55" s="2" t="s">
        <v>63</v>
      </c>
      <c r="G55" s="2" t="s">
        <v>37</v>
      </c>
      <c r="H55" s="2" t="s">
        <v>38</v>
      </c>
      <c r="I55" s="2" t="s">
        <v>64</v>
      </c>
      <c r="J55" s="2" t="s">
        <v>56</v>
      </c>
      <c r="K55" s="2" t="s">
        <v>41</v>
      </c>
      <c r="L55" s="2" t="s">
        <v>42</v>
      </c>
      <c r="M55" s="2" t="s">
        <v>43</v>
      </c>
      <c r="N55" s="2" t="s">
        <v>44</v>
      </c>
      <c r="O55" s="2" t="s">
        <v>66</v>
      </c>
      <c r="P55" s="2" t="s">
        <v>42</v>
      </c>
      <c r="Q55" s="2" t="s">
        <v>46</v>
      </c>
      <c r="R55" s="2" t="s">
        <v>42</v>
      </c>
      <c r="S55" s="2" t="s">
        <v>42</v>
      </c>
      <c r="T55" s="2" t="s">
        <v>42</v>
      </c>
      <c r="U55" s="2" t="s">
        <v>49</v>
      </c>
      <c r="V55" s="2" t="s">
        <v>74</v>
      </c>
      <c r="W55" s="2" t="s">
        <v>42</v>
      </c>
      <c r="X55" s="2" t="s">
        <v>59</v>
      </c>
      <c r="Y55" s="2" t="s">
        <v>48</v>
      </c>
      <c r="Z55" s="2" t="s">
        <v>50</v>
      </c>
      <c r="AA55" s="2" t="s">
        <v>67</v>
      </c>
      <c r="AB55" s="2" t="s">
        <v>49</v>
      </c>
      <c r="AC55" s="1" t="s">
        <v>52</v>
      </c>
      <c r="AD55" s="2" t="s">
        <v>76</v>
      </c>
      <c r="AE55" s="2" t="s">
        <v>49</v>
      </c>
      <c r="AF55" s="2" t="s">
        <v>161</v>
      </c>
      <c r="AG55" s="2" t="s">
        <v>162</v>
      </c>
      <c r="AH55" s="7" t="n">
        <f aca="false">(O55='Labeling Rules'!$C$6)*'Labeling Rules'!$D$6+(Q55='Labeling Rules'!$C$7)*'Labeling Rules'!$D$7+(R55='Labeling Rules'!$C$8)*'Labeling Rules'!$D$8+(R55='Labeling Rules'!$C$9)*'Labeling Rules'!$D$9+(P55='Labeling Rules'!$C$10)*'Labeling Rules'!$D$10+(M55='Labeling Rules'!$C$11)*'Labeling Rules'!$D$11+(T55='Labeling Rules'!$C$12)*'Labeling Rules'!$D$12+(U55='Labeling Rules'!$C$13)*'Labeling Rules'!$D$13+(W55='Labeling Rules'!$C$14)*'Labeling Rules'!$D$14+(Y55='Labeling Rules'!$C$15)*'Labeling Rules'!$D$15</f>
        <v>4</v>
      </c>
      <c r="AI55" s="7" t="n">
        <f aca="false">IF(AH55&gt;='Labeling Rules'!$D$17,1,0)</f>
        <v>0</v>
      </c>
    </row>
    <row r="56" customFormat="false" ht="14.25" hidden="false" customHeight="false" outlineLevel="0" collapsed="false">
      <c r="A56" s="0" t="n">
        <v>55</v>
      </c>
      <c r="B56" s="6" t="n">
        <v>46158.9616782407</v>
      </c>
      <c r="C56" s="6" t="n">
        <v>46158.967337963</v>
      </c>
      <c r="D56" s="1" t="s">
        <v>35</v>
      </c>
      <c r="F56" s="2" t="s">
        <v>63</v>
      </c>
      <c r="G56" s="2" t="s">
        <v>163</v>
      </c>
      <c r="H56" s="2" t="s">
        <v>38</v>
      </c>
      <c r="I56" s="2" t="s">
        <v>64</v>
      </c>
      <c r="J56" s="2" t="s">
        <v>56</v>
      </c>
      <c r="K56" s="2" t="s">
        <v>41</v>
      </c>
      <c r="L56" s="2" t="s">
        <v>42</v>
      </c>
      <c r="M56" s="2" t="s">
        <v>49</v>
      </c>
      <c r="N56" s="2" t="s">
        <v>43</v>
      </c>
      <c r="O56" s="2" t="s">
        <v>57</v>
      </c>
      <c r="P56" s="2" t="s">
        <v>42</v>
      </c>
      <c r="Q56" s="2" t="s">
        <v>46</v>
      </c>
      <c r="R56" s="2" t="s">
        <v>48</v>
      </c>
      <c r="S56" s="2" t="s">
        <v>47</v>
      </c>
      <c r="T56" s="2" t="s">
        <v>48</v>
      </c>
      <c r="U56" s="2" t="s">
        <v>49</v>
      </c>
      <c r="V56" s="2" t="s">
        <v>49</v>
      </c>
      <c r="W56" s="2" t="s">
        <v>48</v>
      </c>
      <c r="X56" s="2" t="s">
        <v>59</v>
      </c>
      <c r="Y56" s="2" t="s">
        <v>42</v>
      </c>
      <c r="Z56" s="2" t="s">
        <v>48</v>
      </c>
      <c r="AA56" s="2" t="s">
        <v>77</v>
      </c>
      <c r="AB56" s="2" t="s">
        <v>49</v>
      </c>
      <c r="AC56" s="1" t="s">
        <v>61</v>
      </c>
      <c r="AD56" s="2" t="s">
        <v>42</v>
      </c>
      <c r="AE56" s="2" t="s">
        <v>49</v>
      </c>
      <c r="AF56" s="1" t="s">
        <v>62</v>
      </c>
      <c r="AG56" s="1" t="s">
        <v>62</v>
      </c>
      <c r="AH56" s="7" t="n">
        <f aca="false">(O56='Labeling Rules'!$C$6)*'Labeling Rules'!$D$6+(Q56='Labeling Rules'!$C$7)*'Labeling Rules'!$D$7+(R56='Labeling Rules'!$C$8)*'Labeling Rules'!$D$8+(R56='Labeling Rules'!$C$9)*'Labeling Rules'!$D$9+(P56='Labeling Rules'!$C$10)*'Labeling Rules'!$D$10+(M56='Labeling Rules'!$C$11)*'Labeling Rules'!$D$11+(T56='Labeling Rules'!$C$12)*'Labeling Rules'!$D$12+(U56='Labeling Rules'!$C$13)*'Labeling Rules'!$D$13+(W56='Labeling Rules'!$C$14)*'Labeling Rules'!$D$14+(Y56='Labeling Rules'!$C$15)*'Labeling Rules'!$D$15</f>
        <v>1</v>
      </c>
      <c r="AI56" s="7" t="n">
        <f aca="false">IF(AH56&gt;='Labeling Rules'!$D$17,1,0)</f>
        <v>0</v>
      </c>
    </row>
    <row r="57" customFormat="false" ht="14.25" hidden="false" customHeight="false" outlineLevel="0" collapsed="false">
      <c r="A57" s="0" t="n">
        <v>56</v>
      </c>
      <c r="B57" s="6" t="n">
        <v>46158.9697222222</v>
      </c>
      <c r="C57" s="6" t="n">
        <v>46158.9720601852</v>
      </c>
      <c r="D57" s="1" t="s">
        <v>35</v>
      </c>
      <c r="F57" s="2" t="s">
        <v>63</v>
      </c>
      <c r="G57" s="2" t="s">
        <v>69</v>
      </c>
      <c r="H57" s="2" t="s">
        <v>38</v>
      </c>
      <c r="I57" s="2" t="s">
        <v>39</v>
      </c>
      <c r="J57" s="2" t="s">
        <v>65</v>
      </c>
      <c r="K57" s="2" t="s">
        <v>41</v>
      </c>
      <c r="L57" s="2" t="s">
        <v>42</v>
      </c>
      <c r="M57" s="2" t="s">
        <v>43</v>
      </c>
      <c r="N57" s="2" t="s">
        <v>44</v>
      </c>
      <c r="O57" s="2" t="s">
        <v>66</v>
      </c>
      <c r="P57" s="2" t="s">
        <v>42</v>
      </c>
      <c r="Q57" s="2" t="s">
        <v>58</v>
      </c>
      <c r="R57" s="2" t="s">
        <v>49</v>
      </c>
      <c r="S57" s="2" t="s">
        <v>48</v>
      </c>
      <c r="T57" s="2" t="s">
        <v>42</v>
      </c>
      <c r="U57" s="2" t="s">
        <v>44</v>
      </c>
      <c r="V57" s="2" t="s">
        <v>82</v>
      </c>
      <c r="W57" s="2" t="s">
        <v>42</v>
      </c>
      <c r="X57" s="2" t="s">
        <v>59</v>
      </c>
      <c r="Y57" s="2" t="s">
        <v>42</v>
      </c>
      <c r="Z57" s="2" t="s">
        <v>48</v>
      </c>
      <c r="AA57" s="2" t="s">
        <v>67</v>
      </c>
      <c r="AB57" s="2" t="s">
        <v>42</v>
      </c>
      <c r="AC57" s="1" t="s">
        <v>113</v>
      </c>
      <c r="AD57" s="2" t="s">
        <v>42</v>
      </c>
      <c r="AE57" s="2" t="s">
        <v>44</v>
      </c>
      <c r="AF57" s="2" t="s">
        <v>164</v>
      </c>
      <c r="AG57" s="2" t="s">
        <v>48</v>
      </c>
      <c r="AH57" s="7" t="n">
        <f aca="false">(O57='Labeling Rules'!$C$6)*'Labeling Rules'!$D$6+(Q57='Labeling Rules'!$C$7)*'Labeling Rules'!$D$7+(R57='Labeling Rules'!$C$8)*'Labeling Rules'!$D$8+(R57='Labeling Rules'!$C$9)*'Labeling Rules'!$D$9+(P57='Labeling Rules'!$C$10)*'Labeling Rules'!$D$10+(M57='Labeling Rules'!$C$11)*'Labeling Rules'!$D$11+(T57='Labeling Rules'!$C$12)*'Labeling Rules'!$D$12+(U57='Labeling Rules'!$C$13)*'Labeling Rules'!$D$13+(W57='Labeling Rules'!$C$14)*'Labeling Rules'!$D$14+(Y57='Labeling Rules'!$C$15)*'Labeling Rules'!$D$15</f>
        <v>4</v>
      </c>
      <c r="AI57" s="7" t="n">
        <f aca="false">IF(AH57&gt;='Labeling Rules'!$D$17,1,0)</f>
        <v>0</v>
      </c>
    </row>
    <row r="58" customFormat="false" ht="14.25" hidden="false" customHeight="false" outlineLevel="0" collapsed="false">
      <c r="A58" s="0" t="n">
        <v>57</v>
      </c>
      <c r="B58" s="6" t="n">
        <v>46158.9517592593</v>
      </c>
      <c r="C58" s="6" t="n">
        <v>46158.9844328704</v>
      </c>
      <c r="D58" s="1" t="s">
        <v>35</v>
      </c>
      <c r="F58" s="2" t="s">
        <v>36</v>
      </c>
      <c r="G58" s="2" t="s">
        <v>137</v>
      </c>
      <c r="H58" s="2" t="s">
        <v>38</v>
      </c>
      <c r="I58" s="2" t="s">
        <v>39</v>
      </c>
      <c r="J58" s="2" t="s">
        <v>56</v>
      </c>
      <c r="K58" s="2" t="s">
        <v>41</v>
      </c>
      <c r="L58" s="2" t="s">
        <v>42</v>
      </c>
      <c r="M58" s="2" t="s">
        <v>49</v>
      </c>
      <c r="N58" s="2" t="s">
        <v>49</v>
      </c>
      <c r="O58" s="2" t="s">
        <v>45</v>
      </c>
      <c r="P58" s="2" t="s">
        <v>76</v>
      </c>
      <c r="Q58" s="2" t="s">
        <v>46</v>
      </c>
      <c r="R58" s="2" t="s">
        <v>49</v>
      </c>
      <c r="S58" s="2" t="s">
        <v>47</v>
      </c>
      <c r="T58" s="2" t="s">
        <v>48</v>
      </c>
      <c r="U58" s="2" t="s">
        <v>44</v>
      </c>
      <c r="V58" s="2" t="s">
        <v>49</v>
      </c>
      <c r="W58" s="2" t="s">
        <v>48</v>
      </c>
      <c r="X58" s="2" t="s">
        <v>59</v>
      </c>
      <c r="Y58" s="2" t="s">
        <v>48</v>
      </c>
      <c r="Z58" s="2" t="s">
        <v>50</v>
      </c>
      <c r="AA58" s="2" t="s">
        <v>60</v>
      </c>
      <c r="AB58" s="2" t="s">
        <v>42</v>
      </c>
      <c r="AC58" s="1" t="s">
        <v>78</v>
      </c>
      <c r="AD58" s="2" t="s">
        <v>76</v>
      </c>
      <c r="AE58" s="2" t="s">
        <v>75</v>
      </c>
      <c r="AF58" s="1" t="s">
        <v>165</v>
      </c>
      <c r="AG58" s="1" t="s">
        <v>94</v>
      </c>
      <c r="AH58" s="7" t="n">
        <f aca="false">(O58='Labeling Rules'!$C$6)*'Labeling Rules'!$D$6+(Q58='Labeling Rules'!$C$7)*'Labeling Rules'!$D$7+(R58='Labeling Rules'!$C$8)*'Labeling Rules'!$D$8+(R58='Labeling Rules'!$C$9)*'Labeling Rules'!$D$9+(P58='Labeling Rules'!$C$10)*'Labeling Rules'!$D$10+(M58='Labeling Rules'!$C$11)*'Labeling Rules'!$D$11+(T58='Labeling Rules'!$C$12)*'Labeling Rules'!$D$12+(U58='Labeling Rules'!$C$13)*'Labeling Rules'!$D$13+(W58='Labeling Rules'!$C$14)*'Labeling Rules'!$D$14+(Y58='Labeling Rules'!$C$15)*'Labeling Rules'!$D$15</f>
        <v>3</v>
      </c>
      <c r="AI58" s="7" t="n">
        <f aca="false">IF(AH58&gt;='Labeling Rules'!$D$17,1,0)</f>
        <v>0</v>
      </c>
    </row>
    <row r="59" customFormat="false" ht="14.25" hidden="false" customHeight="false" outlineLevel="0" collapsed="false">
      <c r="A59" s="0" t="n">
        <v>58</v>
      </c>
      <c r="B59" s="6" t="n">
        <v>46158.9869675926</v>
      </c>
      <c r="C59" s="6" t="n">
        <v>46158.9877893519</v>
      </c>
      <c r="D59" s="1" t="s">
        <v>35</v>
      </c>
      <c r="F59" s="2" t="s">
        <v>36</v>
      </c>
      <c r="G59" s="2" t="s">
        <v>163</v>
      </c>
      <c r="H59" s="2" t="s">
        <v>38</v>
      </c>
      <c r="I59" s="2" t="s">
        <v>64</v>
      </c>
      <c r="J59" s="2" t="s">
        <v>56</v>
      </c>
      <c r="K59" s="2" t="s">
        <v>97</v>
      </c>
      <c r="L59" s="2" t="s">
        <v>42</v>
      </c>
      <c r="M59" s="2" t="s">
        <v>44</v>
      </c>
      <c r="N59" s="2" t="s">
        <v>44</v>
      </c>
      <c r="O59" s="2" t="s">
        <v>66</v>
      </c>
      <c r="P59" s="2" t="s">
        <v>42</v>
      </c>
      <c r="Q59" s="2" t="s">
        <v>58</v>
      </c>
      <c r="R59" s="2" t="s">
        <v>42</v>
      </c>
      <c r="S59" s="2" t="s">
        <v>42</v>
      </c>
      <c r="T59" s="2" t="s">
        <v>42</v>
      </c>
      <c r="U59" s="2" t="s">
        <v>44</v>
      </c>
      <c r="V59" s="2" t="s">
        <v>82</v>
      </c>
      <c r="W59" s="2" t="s">
        <v>42</v>
      </c>
      <c r="X59" s="2" t="s">
        <v>59</v>
      </c>
      <c r="Y59" s="2" t="s">
        <v>42</v>
      </c>
      <c r="Z59" s="2" t="s">
        <v>42</v>
      </c>
      <c r="AA59" s="2" t="s">
        <v>60</v>
      </c>
      <c r="AB59" s="2" t="s">
        <v>49</v>
      </c>
      <c r="AC59" s="1" t="s">
        <v>125</v>
      </c>
      <c r="AD59" s="2" t="s">
        <v>42</v>
      </c>
      <c r="AE59" s="2" t="s">
        <v>44</v>
      </c>
      <c r="AF59" s="1" t="s">
        <v>62</v>
      </c>
      <c r="AG59" s="1" t="s">
        <v>62</v>
      </c>
      <c r="AH59" s="7" t="n">
        <f aca="false">(O59='Labeling Rules'!$C$6)*'Labeling Rules'!$D$6+(Q59='Labeling Rules'!$C$7)*'Labeling Rules'!$D$7+(R59='Labeling Rules'!$C$8)*'Labeling Rules'!$D$8+(R59='Labeling Rules'!$C$9)*'Labeling Rules'!$D$9+(P59='Labeling Rules'!$C$10)*'Labeling Rules'!$D$10+(M59='Labeling Rules'!$C$11)*'Labeling Rules'!$D$11+(T59='Labeling Rules'!$C$12)*'Labeling Rules'!$D$12+(U59='Labeling Rules'!$C$13)*'Labeling Rules'!$D$13+(W59='Labeling Rules'!$C$14)*'Labeling Rules'!$D$14+(Y59='Labeling Rules'!$C$15)*'Labeling Rules'!$D$15</f>
        <v>6</v>
      </c>
      <c r="AI59" s="7" t="n">
        <f aca="false">IF(AH59&gt;='Labeling Rules'!$D$17,1,0)</f>
        <v>1</v>
      </c>
    </row>
    <row r="60" customFormat="false" ht="14.25" hidden="false" customHeight="false" outlineLevel="0" collapsed="false">
      <c r="A60" s="0" t="n">
        <v>59</v>
      </c>
      <c r="B60" s="6" t="n">
        <v>46158.9937731482</v>
      </c>
      <c r="C60" s="6" t="n">
        <v>46158.9961805556</v>
      </c>
      <c r="D60" s="1" t="s">
        <v>35</v>
      </c>
      <c r="F60" s="2" t="s">
        <v>36</v>
      </c>
      <c r="G60" s="2" t="s">
        <v>37</v>
      </c>
      <c r="H60" s="2" t="s">
        <v>38</v>
      </c>
      <c r="I60" s="2" t="s">
        <v>64</v>
      </c>
      <c r="J60" s="2" t="s">
        <v>56</v>
      </c>
      <c r="K60" s="2" t="s">
        <v>97</v>
      </c>
      <c r="L60" s="2" t="s">
        <v>42</v>
      </c>
      <c r="M60" s="2" t="s">
        <v>49</v>
      </c>
      <c r="N60" s="2" t="s">
        <v>43</v>
      </c>
      <c r="O60" s="2" t="s">
        <v>66</v>
      </c>
      <c r="P60" s="2" t="s">
        <v>42</v>
      </c>
      <c r="Q60" s="2" t="s">
        <v>58</v>
      </c>
      <c r="R60" s="2" t="s">
        <v>42</v>
      </c>
      <c r="S60" s="2" t="s">
        <v>47</v>
      </c>
      <c r="T60" s="2" t="s">
        <v>48</v>
      </c>
      <c r="U60" s="2" t="s">
        <v>48</v>
      </c>
      <c r="V60" s="2" t="s">
        <v>74</v>
      </c>
      <c r="W60" s="2" t="s">
        <v>48</v>
      </c>
      <c r="X60" s="2" t="s">
        <v>59</v>
      </c>
      <c r="Y60" s="2" t="s">
        <v>48</v>
      </c>
      <c r="Z60" s="2" t="s">
        <v>48</v>
      </c>
      <c r="AA60" s="2" t="s">
        <v>77</v>
      </c>
      <c r="AB60" s="2" t="s">
        <v>42</v>
      </c>
      <c r="AC60" s="1" t="s">
        <v>68</v>
      </c>
      <c r="AD60" s="2" t="s">
        <v>42</v>
      </c>
      <c r="AE60" s="2" t="s">
        <v>49</v>
      </c>
      <c r="AF60" s="1" t="s">
        <v>166</v>
      </c>
      <c r="AG60" s="1" t="s">
        <v>167</v>
      </c>
      <c r="AH60" s="7" t="n">
        <f aca="false">(O60='Labeling Rules'!$C$6)*'Labeling Rules'!$D$6+(Q60='Labeling Rules'!$C$7)*'Labeling Rules'!$D$7+(R60='Labeling Rules'!$C$8)*'Labeling Rules'!$D$8+(R60='Labeling Rules'!$C$9)*'Labeling Rules'!$D$9+(P60='Labeling Rules'!$C$10)*'Labeling Rules'!$D$10+(M60='Labeling Rules'!$C$11)*'Labeling Rules'!$D$11+(T60='Labeling Rules'!$C$12)*'Labeling Rules'!$D$12+(U60='Labeling Rules'!$C$13)*'Labeling Rules'!$D$13+(W60='Labeling Rules'!$C$14)*'Labeling Rules'!$D$14+(Y60='Labeling Rules'!$C$15)*'Labeling Rules'!$D$15</f>
        <v>3</v>
      </c>
      <c r="AI60" s="7" t="n">
        <f aca="false">IF(AH60&gt;='Labeling Rules'!$D$17,1,0)</f>
        <v>0</v>
      </c>
    </row>
    <row r="61" customFormat="false" ht="28.35" hidden="false" customHeight="false" outlineLevel="0" collapsed="false">
      <c r="A61" s="0" t="n">
        <v>60</v>
      </c>
      <c r="B61" s="6" t="n">
        <v>46158.9938541667</v>
      </c>
      <c r="C61" s="6" t="n">
        <v>46158.9983449074</v>
      </c>
      <c r="D61" s="1" t="s">
        <v>35</v>
      </c>
      <c r="F61" s="2" t="s">
        <v>36</v>
      </c>
      <c r="G61" s="2" t="s">
        <v>37</v>
      </c>
      <c r="H61" s="2" t="s">
        <v>38</v>
      </c>
      <c r="I61" s="2" t="s">
        <v>64</v>
      </c>
      <c r="J61" s="2" t="s">
        <v>65</v>
      </c>
      <c r="K61" s="2" t="s">
        <v>41</v>
      </c>
      <c r="L61" s="2" t="s">
        <v>42</v>
      </c>
      <c r="M61" s="2" t="s">
        <v>44</v>
      </c>
      <c r="N61" s="2" t="s">
        <v>44</v>
      </c>
      <c r="O61" s="2" t="s">
        <v>45</v>
      </c>
      <c r="P61" s="2" t="s">
        <v>42</v>
      </c>
      <c r="Q61" s="2" t="s">
        <v>46</v>
      </c>
      <c r="R61" s="2" t="s">
        <v>42</v>
      </c>
      <c r="S61" s="2" t="s">
        <v>48</v>
      </c>
      <c r="T61" s="2" t="s">
        <v>48</v>
      </c>
      <c r="U61" s="2" t="s">
        <v>44</v>
      </c>
      <c r="V61" s="2" t="s">
        <v>49</v>
      </c>
      <c r="W61" s="2" t="s">
        <v>48</v>
      </c>
      <c r="X61" s="2" t="s">
        <v>76</v>
      </c>
      <c r="Y61" s="2" t="s">
        <v>48</v>
      </c>
      <c r="Z61" s="2" t="s">
        <v>50</v>
      </c>
      <c r="AA61" s="2" t="s">
        <v>77</v>
      </c>
      <c r="AB61" s="2" t="s">
        <v>49</v>
      </c>
      <c r="AC61" s="1" t="s">
        <v>168</v>
      </c>
      <c r="AD61" s="2" t="s">
        <v>42</v>
      </c>
      <c r="AE61" s="2" t="s">
        <v>44</v>
      </c>
      <c r="AF61" s="4" t="s">
        <v>169</v>
      </c>
      <c r="AG61" s="2" t="s">
        <v>144</v>
      </c>
      <c r="AH61" s="7" t="n">
        <f aca="false">(O61='Labeling Rules'!$C$6)*'Labeling Rules'!$D$6+(Q61='Labeling Rules'!$C$7)*'Labeling Rules'!$D$7+(R61='Labeling Rules'!$C$8)*'Labeling Rules'!$D$8+(R61='Labeling Rules'!$C$9)*'Labeling Rules'!$D$9+(P61='Labeling Rules'!$C$10)*'Labeling Rules'!$D$10+(M61='Labeling Rules'!$C$11)*'Labeling Rules'!$D$11+(T61='Labeling Rules'!$C$12)*'Labeling Rules'!$D$12+(U61='Labeling Rules'!$C$13)*'Labeling Rules'!$D$13+(W61='Labeling Rules'!$C$14)*'Labeling Rules'!$D$14+(Y61='Labeling Rules'!$C$15)*'Labeling Rules'!$D$15</f>
        <v>5</v>
      </c>
      <c r="AI61" s="7" t="n">
        <f aca="false">IF(AH61&gt;='Labeling Rules'!$D$17,1,0)</f>
        <v>1</v>
      </c>
    </row>
    <row r="62" customFormat="false" ht="14.25" hidden="false" customHeight="false" outlineLevel="0" collapsed="false">
      <c r="A62" s="0" t="n">
        <v>61</v>
      </c>
      <c r="B62" s="6" t="n">
        <v>46158.9954050926</v>
      </c>
      <c r="C62" s="6" t="n">
        <v>46158.9986805556</v>
      </c>
      <c r="D62" s="1" t="s">
        <v>35</v>
      </c>
      <c r="F62" s="2" t="s">
        <v>36</v>
      </c>
      <c r="G62" s="2" t="s">
        <v>73</v>
      </c>
      <c r="H62" s="2" t="s">
        <v>38</v>
      </c>
      <c r="I62" s="2" t="s">
        <v>64</v>
      </c>
      <c r="J62" s="2" t="s">
        <v>56</v>
      </c>
      <c r="K62" s="2" t="s">
        <v>41</v>
      </c>
      <c r="L62" s="2" t="s">
        <v>42</v>
      </c>
      <c r="M62" s="2" t="s">
        <v>49</v>
      </c>
      <c r="N62" s="2" t="s">
        <v>49</v>
      </c>
      <c r="O62" s="2" t="s">
        <v>45</v>
      </c>
      <c r="P62" s="2" t="s">
        <v>42</v>
      </c>
      <c r="Q62" s="2" t="s">
        <v>46</v>
      </c>
      <c r="R62" s="2" t="s">
        <v>49</v>
      </c>
      <c r="S62" s="2" t="s">
        <v>47</v>
      </c>
      <c r="T62" s="2" t="s">
        <v>42</v>
      </c>
      <c r="U62" s="2" t="s">
        <v>44</v>
      </c>
      <c r="V62" s="2" t="s">
        <v>49</v>
      </c>
      <c r="W62" s="2" t="s">
        <v>48</v>
      </c>
      <c r="X62" s="2" t="s">
        <v>59</v>
      </c>
      <c r="Y62" s="2" t="s">
        <v>48</v>
      </c>
      <c r="Z62" s="2" t="s">
        <v>50</v>
      </c>
      <c r="AA62" s="2" t="s">
        <v>51</v>
      </c>
      <c r="AB62" s="2" t="s">
        <v>49</v>
      </c>
      <c r="AC62" s="1" t="s">
        <v>68</v>
      </c>
      <c r="AD62" s="2" t="s">
        <v>76</v>
      </c>
      <c r="AE62" s="2" t="s">
        <v>49</v>
      </c>
      <c r="AF62" s="1" t="s">
        <v>170</v>
      </c>
      <c r="AG62" s="1" t="s">
        <v>170</v>
      </c>
      <c r="AH62" s="7" t="n">
        <f aca="false">(O62='Labeling Rules'!$C$6)*'Labeling Rules'!$D$6+(Q62='Labeling Rules'!$C$7)*'Labeling Rules'!$D$7+(R62='Labeling Rules'!$C$8)*'Labeling Rules'!$D$8+(R62='Labeling Rules'!$C$9)*'Labeling Rules'!$D$9+(P62='Labeling Rules'!$C$10)*'Labeling Rules'!$D$10+(M62='Labeling Rules'!$C$11)*'Labeling Rules'!$D$11+(T62='Labeling Rules'!$C$12)*'Labeling Rules'!$D$12+(U62='Labeling Rules'!$C$13)*'Labeling Rules'!$D$13+(W62='Labeling Rules'!$C$14)*'Labeling Rules'!$D$14+(Y62='Labeling Rules'!$C$15)*'Labeling Rules'!$D$15</f>
        <v>4</v>
      </c>
      <c r="AI62" s="7" t="n">
        <f aca="false">IF(AH62&gt;='Labeling Rules'!$D$17,1,0)</f>
        <v>0</v>
      </c>
    </row>
    <row r="63" customFormat="false" ht="14.25" hidden="false" customHeight="false" outlineLevel="0" collapsed="false">
      <c r="A63" s="0" t="n">
        <v>62</v>
      </c>
      <c r="B63" s="6" t="n">
        <v>46158.9990277778</v>
      </c>
      <c r="C63" s="6" t="n">
        <v>46159.0004513889</v>
      </c>
      <c r="D63" s="1" t="s">
        <v>35</v>
      </c>
      <c r="F63" s="2" t="s">
        <v>36</v>
      </c>
      <c r="G63" s="2" t="s">
        <v>37</v>
      </c>
      <c r="H63" s="2" t="s">
        <v>38</v>
      </c>
      <c r="I63" s="2" t="s">
        <v>64</v>
      </c>
      <c r="J63" s="2" t="s">
        <v>56</v>
      </c>
      <c r="K63" s="2" t="s">
        <v>41</v>
      </c>
      <c r="L63" s="2" t="s">
        <v>42</v>
      </c>
      <c r="M63" s="2" t="s">
        <v>49</v>
      </c>
      <c r="N63" s="2" t="s">
        <v>49</v>
      </c>
      <c r="O63" s="2" t="s">
        <v>45</v>
      </c>
      <c r="P63" s="2" t="s">
        <v>42</v>
      </c>
      <c r="Q63" s="2" t="s">
        <v>46</v>
      </c>
      <c r="R63" s="2" t="s">
        <v>42</v>
      </c>
      <c r="S63" s="2" t="s">
        <v>48</v>
      </c>
      <c r="T63" s="2" t="s">
        <v>42</v>
      </c>
      <c r="U63" s="2" t="s">
        <v>49</v>
      </c>
      <c r="V63" s="2" t="s">
        <v>82</v>
      </c>
      <c r="W63" s="2" t="s">
        <v>48</v>
      </c>
      <c r="X63" s="2" t="s">
        <v>59</v>
      </c>
      <c r="Y63" s="2" t="s">
        <v>42</v>
      </c>
      <c r="Z63" s="2" t="s">
        <v>83</v>
      </c>
      <c r="AA63" s="2" t="s">
        <v>77</v>
      </c>
      <c r="AB63" s="2" t="s">
        <v>42</v>
      </c>
      <c r="AC63" s="1" t="s">
        <v>52</v>
      </c>
      <c r="AD63" s="2" t="s">
        <v>42</v>
      </c>
      <c r="AE63" s="2" t="s">
        <v>49</v>
      </c>
      <c r="AF63" s="2" t="s">
        <v>171</v>
      </c>
      <c r="AG63" s="2" t="s">
        <v>48</v>
      </c>
      <c r="AH63" s="7" t="n">
        <f aca="false">(O63='Labeling Rules'!$C$6)*'Labeling Rules'!$D$6+(Q63='Labeling Rules'!$C$7)*'Labeling Rules'!$D$7+(R63='Labeling Rules'!$C$8)*'Labeling Rules'!$D$8+(R63='Labeling Rules'!$C$9)*'Labeling Rules'!$D$9+(P63='Labeling Rules'!$C$10)*'Labeling Rules'!$D$10+(M63='Labeling Rules'!$C$11)*'Labeling Rules'!$D$11+(T63='Labeling Rules'!$C$12)*'Labeling Rules'!$D$12+(U63='Labeling Rules'!$C$13)*'Labeling Rules'!$D$13+(W63='Labeling Rules'!$C$14)*'Labeling Rules'!$D$14+(Y63='Labeling Rules'!$C$15)*'Labeling Rules'!$D$15</f>
        <v>6</v>
      </c>
      <c r="AI63" s="7" t="n">
        <f aca="false">IF(AH63&gt;='Labeling Rules'!$D$17,1,0)</f>
        <v>1</v>
      </c>
    </row>
    <row r="64" customFormat="false" ht="14.25" hidden="false" customHeight="false" outlineLevel="0" collapsed="false">
      <c r="A64" s="0" t="n">
        <v>63</v>
      </c>
      <c r="B64" s="6" t="n">
        <v>46159.0005092593</v>
      </c>
      <c r="C64" s="6" t="n">
        <v>46159.0014699074</v>
      </c>
      <c r="D64" s="1" t="s">
        <v>35</v>
      </c>
      <c r="F64" s="2" t="s">
        <v>36</v>
      </c>
      <c r="G64" s="2" t="s">
        <v>37</v>
      </c>
      <c r="H64" s="2" t="s">
        <v>38</v>
      </c>
      <c r="I64" s="2" t="s">
        <v>39</v>
      </c>
      <c r="J64" s="2" t="s">
        <v>56</v>
      </c>
      <c r="K64" s="2" t="s">
        <v>41</v>
      </c>
      <c r="L64" s="2" t="s">
        <v>42</v>
      </c>
      <c r="M64" s="2" t="s">
        <v>44</v>
      </c>
      <c r="N64" s="2" t="s">
        <v>74</v>
      </c>
      <c r="O64" s="2" t="s">
        <v>45</v>
      </c>
      <c r="P64" s="2" t="s">
        <v>42</v>
      </c>
      <c r="Q64" s="2" t="s">
        <v>58</v>
      </c>
      <c r="R64" s="2" t="s">
        <v>49</v>
      </c>
      <c r="S64" s="2" t="s">
        <v>47</v>
      </c>
      <c r="T64" s="2" t="s">
        <v>42</v>
      </c>
      <c r="U64" s="2" t="s">
        <v>44</v>
      </c>
      <c r="V64" s="2" t="s">
        <v>74</v>
      </c>
      <c r="W64" s="2" t="s">
        <v>48</v>
      </c>
      <c r="X64" s="2" t="s">
        <v>59</v>
      </c>
      <c r="Y64" s="2" t="s">
        <v>42</v>
      </c>
      <c r="Z64" s="2" t="s">
        <v>48</v>
      </c>
      <c r="AA64" s="2" t="s">
        <v>77</v>
      </c>
      <c r="AB64" s="2" t="s">
        <v>42</v>
      </c>
      <c r="AC64" s="1" t="s">
        <v>172</v>
      </c>
      <c r="AD64" s="2" t="s">
        <v>42</v>
      </c>
      <c r="AE64" s="2" t="s">
        <v>74</v>
      </c>
      <c r="AF64" s="1" t="s">
        <v>62</v>
      </c>
      <c r="AG64" s="1" t="s">
        <v>62</v>
      </c>
      <c r="AH64" s="7" t="n">
        <f aca="false">(O64='Labeling Rules'!$C$6)*'Labeling Rules'!$D$6+(Q64='Labeling Rules'!$C$7)*'Labeling Rules'!$D$7+(R64='Labeling Rules'!$C$8)*'Labeling Rules'!$D$8+(R64='Labeling Rules'!$C$9)*'Labeling Rules'!$D$9+(P64='Labeling Rules'!$C$10)*'Labeling Rules'!$D$10+(M64='Labeling Rules'!$C$11)*'Labeling Rules'!$D$11+(T64='Labeling Rules'!$C$12)*'Labeling Rules'!$D$12+(U64='Labeling Rules'!$C$13)*'Labeling Rules'!$D$13+(W64='Labeling Rules'!$C$14)*'Labeling Rules'!$D$14+(Y64='Labeling Rules'!$C$15)*'Labeling Rules'!$D$15</f>
        <v>6</v>
      </c>
      <c r="AI64" s="7" t="n">
        <f aca="false">IF(AH64&gt;='Labeling Rules'!$D$17,1,0)</f>
        <v>1</v>
      </c>
    </row>
    <row r="65" customFormat="false" ht="14.25" hidden="false" customHeight="false" outlineLevel="0" collapsed="false">
      <c r="A65" s="0" t="n">
        <v>64</v>
      </c>
      <c r="B65" s="6" t="n">
        <v>46159.0161921296</v>
      </c>
      <c r="C65" s="6" t="n">
        <v>46159.0184375</v>
      </c>
      <c r="D65" s="1" t="s">
        <v>35</v>
      </c>
      <c r="F65" s="2" t="s">
        <v>36</v>
      </c>
      <c r="G65" s="2" t="s">
        <v>37</v>
      </c>
      <c r="H65" s="2" t="s">
        <v>38</v>
      </c>
      <c r="I65" s="2" t="s">
        <v>39</v>
      </c>
      <c r="J65" s="2" t="s">
        <v>56</v>
      </c>
      <c r="K65" s="2" t="s">
        <v>41</v>
      </c>
      <c r="L65" s="2" t="s">
        <v>42</v>
      </c>
      <c r="M65" s="2" t="s">
        <v>44</v>
      </c>
      <c r="N65" s="2" t="s">
        <v>43</v>
      </c>
      <c r="O65" s="2" t="s">
        <v>45</v>
      </c>
      <c r="P65" s="2" t="s">
        <v>48</v>
      </c>
      <c r="Q65" s="2" t="s">
        <v>81</v>
      </c>
      <c r="R65" s="2" t="s">
        <v>42</v>
      </c>
      <c r="S65" s="2" t="s">
        <v>47</v>
      </c>
      <c r="T65" s="2" t="s">
        <v>42</v>
      </c>
      <c r="U65" s="2" t="s">
        <v>49</v>
      </c>
      <c r="V65" s="2" t="s">
        <v>82</v>
      </c>
      <c r="W65" s="2" t="s">
        <v>48</v>
      </c>
      <c r="X65" s="2" t="s">
        <v>76</v>
      </c>
      <c r="Y65" s="2" t="s">
        <v>42</v>
      </c>
      <c r="Z65" s="2" t="s">
        <v>83</v>
      </c>
      <c r="AA65" s="2" t="s">
        <v>51</v>
      </c>
      <c r="AB65" s="2" t="s">
        <v>42</v>
      </c>
      <c r="AC65" s="1" t="s">
        <v>113</v>
      </c>
      <c r="AD65" s="2" t="s">
        <v>48</v>
      </c>
      <c r="AE65" s="2" t="s">
        <v>44</v>
      </c>
      <c r="AF65" s="2" t="s">
        <v>173</v>
      </c>
      <c r="AG65" s="2" t="s">
        <v>174</v>
      </c>
      <c r="AH65" s="7" t="n">
        <f aca="false">(O65='Labeling Rules'!$C$6)*'Labeling Rules'!$D$6+(Q65='Labeling Rules'!$C$7)*'Labeling Rules'!$D$7+(R65='Labeling Rules'!$C$8)*'Labeling Rules'!$D$8+(R65='Labeling Rules'!$C$9)*'Labeling Rules'!$D$9+(P65='Labeling Rules'!$C$10)*'Labeling Rules'!$D$10+(M65='Labeling Rules'!$C$11)*'Labeling Rules'!$D$11+(T65='Labeling Rules'!$C$12)*'Labeling Rules'!$D$12+(U65='Labeling Rules'!$C$13)*'Labeling Rules'!$D$13+(W65='Labeling Rules'!$C$14)*'Labeling Rules'!$D$14+(Y65='Labeling Rules'!$C$15)*'Labeling Rules'!$D$15</f>
        <v>10</v>
      </c>
      <c r="AI65" s="7" t="n">
        <f aca="false">IF(AH65&gt;='Labeling Rules'!$D$17,1,0)</f>
        <v>1</v>
      </c>
    </row>
    <row r="66" customFormat="false" ht="14.25" hidden="false" customHeight="false" outlineLevel="0" collapsed="false">
      <c r="A66" s="0" t="n">
        <v>65</v>
      </c>
      <c r="B66" s="6" t="n">
        <v>46159.0442361111</v>
      </c>
      <c r="C66" s="6" t="n">
        <v>46159.0465162037</v>
      </c>
      <c r="D66" s="1" t="s">
        <v>35</v>
      </c>
      <c r="F66" s="2" t="s">
        <v>36</v>
      </c>
      <c r="G66" s="2" t="s">
        <v>37</v>
      </c>
      <c r="H66" s="2" t="s">
        <v>38</v>
      </c>
      <c r="I66" s="2" t="s">
        <v>39</v>
      </c>
      <c r="J66" s="2" t="s">
        <v>56</v>
      </c>
      <c r="K66" s="2" t="s">
        <v>41</v>
      </c>
      <c r="L66" s="2" t="s">
        <v>42</v>
      </c>
      <c r="M66" s="2" t="s">
        <v>44</v>
      </c>
      <c r="N66" s="2" t="s">
        <v>43</v>
      </c>
      <c r="O66" s="2" t="s">
        <v>66</v>
      </c>
      <c r="P66" s="2" t="s">
        <v>76</v>
      </c>
      <c r="Q66" s="2" t="s">
        <v>46</v>
      </c>
      <c r="R66" s="2" t="s">
        <v>49</v>
      </c>
      <c r="S66" s="2" t="s">
        <v>47</v>
      </c>
      <c r="T66" s="2" t="s">
        <v>42</v>
      </c>
      <c r="U66" s="2" t="s">
        <v>49</v>
      </c>
      <c r="V66" s="2" t="s">
        <v>49</v>
      </c>
      <c r="W66" s="2" t="s">
        <v>48</v>
      </c>
      <c r="X66" s="2" t="s">
        <v>76</v>
      </c>
      <c r="Y66" s="2" t="s">
        <v>48</v>
      </c>
      <c r="Z66" s="2" t="s">
        <v>50</v>
      </c>
      <c r="AA66" s="2" t="s">
        <v>77</v>
      </c>
      <c r="AB66" s="2" t="s">
        <v>49</v>
      </c>
      <c r="AC66" s="1" t="s">
        <v>106</v>
      </c>
      <c r="AD66" s="2" t="s">
        <v>76</v>
      </c>
      <c r="AE66" s="2" t="s">
        <v>49</v>
      </c>
      <c r="AF66" s="2" t="s">
        <v>175</v>
      </c>
      <c r="AG66" s="2" t="s">
        <v>42</v>
      </c>
      <c r="AH66" s="7" t="n">
        <f aca="false">(O66='Labeling Rules'!$C$6)*'Labeling Rules'!$D$6+(Q66='Labeling Rules'!$C$7)*'Labeling Rules'!$D$7+(R66='Labeling Rules'!$C$8)*'Labeling Rules'!$D$8+(R66='Labeling Rules'!$C$9)*'Labeling Rules'!$D$9+(P66='Labeling Rules'!$C$10)*'Labeling Rules'!$D$10+(M66='Labeling Rules'!$C$11)*'Labeling Rules'!$D$11+(T66='Labeling Rules'!$C$12)*'Labeling Rules'!$D$12+(U66='Labeling Rules'!$C$13)*'Labeling Rules'!$D$13+(W66='Labeling Rules'!$C$14)*'Labeling Rules'!$D$14+(Y66='Labeling Rules'!$C$15)*'Labeling Rules'!$D$15</f>
        <v>3</v>
      </c>
      <c r="AI66" s="7" t="n">
        <f aca="false">IF(AH66&gt;='Labeling Rules'!$D$17,1,0)</f>
        <v>0</v>
      </c>
    </row>
    <row r="67" customFormat="false" ht="14.25" hidden="false" customHeight="false" outlineLevel="0" collapsed="false">
      <c r="A67" s="0" t="n">
        <v>66</v>
      </c>
      <c r="B67" s="6" t="n">
        <v>46159.0442824074</v>
      </c>
      <c r="C67" s="6" t="n">
        <v>46159.0478819445</v>
      </c>
      <c r="D67" s="1" t="s">
        <v>35</v>
      </c>
      <c r="F67" s="2" t="s">
        <v>63</v>
      </c>
      <c r="G67" s="2" t="s">
        <v>37</v>
      </c>
      <c r="H67" s="2" t="s">
        <v>38</v>
      </c>
      <c r="I67" s="2" t="s">
        <v>64</v>
      </c>
      <c r="J67" s="2" t="s">
        <v>56</v>
      </c>
      <c r="K67" s="2" t="s">
        <v>41</v>
      </c>
      <c r="L67" s="2" t="s">
        <v>42</v>
      </c>
      <c r="M67" s="2" t="s">
        <v>44</v>
      </c>
      <c r="N67" s="2" t="s">
        <v>43</v>
      </c>
      <c r="O67" s="2" t="s">
        <v>66</v>
      </c>
      <c r="P67" s="2" t="s">
        <v>42</v>
      </c>
      <c r="Q67" s="2" t="s">
        <v>81</v>
      </c>
      <c r="R67" s="2" t="s">
        <v>42</v>
      </c>
      <c r="S67" s="2" t="s">
        <v>47</v>
      </c>
      <c r="T67" s="2" t="s">
        <v>42</v>
      </c>
      <c r="U67" s="2" t="s">
        <v>44</v>
      </c>
      <c r="V67" s="2" t="s">
        <v>49</v>
      </c>
      <c r="W67" s="2" t="s">
        <v>42</v>
      </c>
      <c r="X67" s="2" t="s">
        <v>59</v>
      </c>
      <c r="Y67" s="2" t="s">
        <v>42</v>
      </c>
      <c r="Z67" s="2" t="s">
        <v>83</v>
      </c>
      <c r="AA67" s="2" t="s">
        <v>77</v>
      </c>
      <c r="AB67" s="2" t="s">
        <v>42</v>
      </c>
      <c r="AC67" s="1" t="s">
        <v>87</v>
      </c>
      <c r="AD67" s="2" t="s">
        <v>42</v>
      </c>
      <c r="AE67" s="2" t="s">
        <v>49</v>
      </c>
      <c r="AF67" s="1" t="s">
        <v>176</v>
      </c>
      <c r="AG67" s="1" t="s">
        <v>177</v>
      </c>
      <c r="AH67" s="7" t="n">
        <f aca="false">(O67='Labeling Rules'!$C$6)*'Labeling Rules'!$D$6+(Q67='Labeling Rules'!$C$7)*'Labeling Rules'!$D$7+(R67='Labeling Rules'!$C$8)*'Labeling Rules'!$D$8+(R67='Labeling Rules'!$C$9)*'Labeling Rules'!$D$9+(P67='Labeling Rules'!$C$10)*'Labeling Rules'!$D$10+(M67='Labeling Rules'!$C$11)*'Labeling Rules'!$D$11+(T67='Labeling Rules'!$C$12)*'Labeling Rules'!$D$12+(U67='Labeling Rules'!$C$13)*'Labeling Rules'!$D$13+(W67='Labeling Rules'!$C$14)*'Labeling Rules'!$D$14+(Y67='Labeling Rules'!$C$15)*'Labeling Rules'!$D$15</f>
        <v>8</v>
      </c>
      <c r="AI67" s="7" t="n">
        <f aca="false">IF(AH67&gt;='Labeling Rules'!$D$17,1,0)</f>
        <v>1</v>
      </c>
    </row>
    <row r="68" customFormat="false" ht="14.25" hidden="false" customHeight="false" outlineLevel="0" collapsed="false">
      <c r="A68" s="0" t="n">
        <v>67</v>
      </c>
      <c r="B68" s="6" t="n">
        <v>46159.2057523148</v>
      </c>
      <c r="C68" s="6" t="n">
        <v>46159.2081944444</v>
      </c>
      <c r="D68" s="1" t="s">
        <v>35</v>
      </c>
      <c r="F68" s="2" t="s">
        <v>63</v>
      </c>
      <c r="G68" s="2" t="s">
        <v>37</v>
      </c>
      <c r="H68" s="2" t="s">
        <v>38</v>
      </c>
      <c r="I68" s="2" t="s">
        <v>39</v>
      </c>
      <c r="J68" s="2" t="s">
        <v>56</v>
      </c>
      <c r="K68" s="2" t="s">
        <v>41</v>
      </c>
      <c r="L68" s="2" t="s">
        <v>42</v>
      </c>
      <c r="M68" s="2" t="s">
        <v>43</v>
      </c>
      <c r="N68" s="2" t="s">
        <v>43</v>
      </c>
      <c r="O68" s="2" t="s">
        <v>66</v>
      </c>
      <c r="P68" s="2" t="s">
        <v>42</v>
      </c>
      <c r="Q68" s="2" t="s">
        <v>46</v>
      </c>
      <c r="R68" s="2" t="s">
        <v>49</v>
      </c>
      <c r="S68" s="2" t="s">
        <v>47</v>
      </c>
      <c r="T68" s="2" t="s">
        <v>48</v>
      </c>
      <c r="U68" s="2" t="s">
        <v>44</v>
      </c>
      <c r="V68" s="2" t="s">
        <v>82</v>
      </c>
      <c r="W68" s="2" t="s">
        <v>48</v>
      </c>
      <c r="X68" s="2" t="s">
        <v>59</v>
      </c>
      <c r="Y68" s="2" t="s">
        <v>48</v>
      </c>
      <c r="Z68" s="2" t="s">
        <v>50</v>
      </c>
      <c r="AA68" s="2" t="s">
        <v>60</v>
      </c>
      <c r="AB68" s="2" t="s">
        <v>48</v>
      </c>
      <c r="AC68" s="1" t="s">
        <v>134</v>
      </c>
      <c r="AD68" s="2" t="s">
        <v>76</v>
      </c>
      <c r="AE68" s="2" t="s">
        <v>49</v>
      </c>
      <c r="AF68" s="2" t="s">
        <v>178</v>
      </c>
      <c r="AG68" s="2" t="s">
        <v>48</v>
      </c>
      <c r="AH68" s="7" t="n">
        <f aca="false">(O68='Labeling Rules'!$C$6)*'Labeling Rules'!$D$6+(Q68='Labeling Rules'!$C$7)*'Labeling Rules'!$D$7+(R68='Labeling Rules'!$C$8)*'Labeling Rules'!$D$8+(R68='Labeling Rules'!$C$9)*'Labeling Rules'!$D$9+(P68='Labeling Rules'!$C$10)*'Labeling Rules'!$D$10+(M68='Labeling Rules'!$C$11)*'Labeling Rules'!$D$11+(T68='Labeling Rules'!$C$12)*'Labeling Rules'!$D$12+(U68='Labeling Rules'!$C$13)*'Labeling Rules'!$D$13+(W68='Labeling Rules'!$C$14)*'Labeling Rules'!$D$14+(Y68='Labeling Rules'!$C$15)*'Labeling Rules'!$D$15</f>
        <v>1</v>
      </c>
      <c r="AI68" s="7" t="n">
        <f aca="false">IF(AH68&gt;='Labeling Rules'!$D$17,1,0)</f>
        <v>0</v>
      </c>
    </row>
    <row r="69" customFormat="false" ht="14.25" hidden="false" customHeight="false" outlineLevel="0" collapsed="false">
      <c r="A69" s="0" t="n">
        <v>68</v>
      </c>
      <c r="B69" s="6" t="n">
        <v>46159.2622106482</v>
      </c>
      <c r="C69" s="6" t="n">
        <v>46159.2644791667</v>
      </c>
      <c r="D69" s="1" t="s">
        <v>35</v>
      </c>
      <c r="F69" s="2" t="s">
        <v>36</v>
      </c>
      <c r="G69" s="2" t="s">
        <v>73</v>
      </c>
      <c r="H69" s="2" t="s">
        <v>38</v>
      </c>
      <c r="I69" s="2" t="s">
        <v>155</v>
      </c>
      <c r="J69" s="2" t="s">
        <v>56</v>
      </c>
      <c r="K69" s="2" t="s">
        <v>97</v>
      </c>
      <c r="L69" s="2" t="s">
        <v>42</v>
      </c>
      <c r="M69" s="2" t="s">
        <v>49</v>
      </c>
      <c r="N69" s="2" t="s">
        <v>49</v>
      </c>
      <c r="O69" s="2" t="s">
        <v>66</v>
      </c>
      <c r="P69" s="2" t="s">
        <v>42</v>
      </c>
      <c r="Q69" s="2" t="s">
        <v>58</v>
      </c>
      <c r="R69" s="2" t="s">
        <v>49</v>
      </c>
      <c r="S69" s="2" t="s">
        <v>47</v>
      </c>
      <c r="T69" s="2" t="s">
        <v>42</v>
      </c>
      <c r="U69" s="2" t="s">
        <v>44</v>
      </c>
      <c r="V69" s="2" t="s">
        <v>49</v>
      </c>
      <c r="W69" s="2" t="s">
        <v>48</v>
      </c>
      <c r="X69" s="2" t="s">
        <v>76</v>
      </c>
      <c r="Y69" s="2" t="s">
        <v>48</v>
      </c>
      <c r="Z69" s="2" t="s">
        <v>50</v>
      </c>
      <c r="AA69" s="2" t="s">
        <v>67</v>
      </c>
      <c r="AB69" s="2" t="s">
        <v>49</v>
      </c>
      <c r="AC69" s="1" t="s">
        <v>168</v>
      </c>
      <c r="AD69" s="2" t="s">
        <v>42</v>
      </c>
      <c r="AE69" s="2" t="s">
        <v>44</v>
      </c>
      <c r="AF69" s="2" t="s">
        <v>179</v>
      </c>
      <c r="AG69" s="2" t="s">
        <v>180</v>
      </c>
      <c r="AH69" s="7" t="n">
        <f aca="false">(O69='Labeling Rules'!$C$6)*'Labeling Rules'!$D$6+(Q69='Labeling Rules'!$C$7)*'Labeling Rules'!$D$7+(R69='Labeling Rules'!$C$8)*'Labeling Rules'!$D$8+(R69='Labeling Rules'!$C$9)*'Labeling Rules'!$D$9+(P69='Labeling Rules'!$C$10)*'Labeling Rules'!$D$10+(M69='Labeling Rules'!$C$11)*'Labeling Rules'!$D$11+(T69='Labeling Rules'!$C$12)*'Labeling Rules'!$D$12+(U69='Labeling Rules'!$C$13)*'Labeling Rules'!$D$13+(W69='Labeling Rules'!$C$14)*'Labeling Rules'!$D$14+(Y69='Labeling Rules'!$C$15)*'Labeling Rules'!$D$15</f>
        <v>2</v>
      </c>
      <c r="AI69" s="7" t="n">
        <f aca="false">IF(AH69&gt;='Labeling Rules'!$D$17,1,0)</f>
        <v>0</v>
      </c>
    </row>
    <row r="70" customFormat="false" ht="14.25" hidden="false" customHeight="false" outlineLevel="0" collapsed="false">
      <c r="A70" s="0" t="n">
        <v>69</v>
      </c>
      <c r="B70" s="6" t="n">
        <v>46159.2776851852</v>
      </c>
      <c r="C70" s="6" t="n">
        <v>46159.279375</v>
      </c>
      <c r="D70" s="1" t="s">
        <v>35</v>
      </c>
      <c r="F70" s="2" t="s">
        <v>36</v>
      </c>
      <c r="G70" s="2" t="s">
        <v>137</v>
      </c>
      <c r="H70" s="2" t="s">
        <v>181</v>
      </c>
      <c r="I70" s="2" t="s">
        <v>80</v>
      </c>
      <c r="J70" s="2" t="s">
        <v>56</v>
      </c>
      <c r="K70" s="2" t="s">
        <v>41</v>
      </c>
      <c r="L70" s="2" t="s">
        <v>42</v>
      </c>
      <c r="M70" s="2" t="s">
        <v>43</v>
      </c>
      <c r="N70" s="2" t="s">
        <v>49</v>
      </c>
      <c r="O70" s="2" t="s">
        <v>66</v>
      </c>
      <c r="P70" s="2" t="s">
        <v>42</v>
      </c>
      <c r="Q70" s="2" t="s">
        <v>58</v>
      </c>
      <c r="R70" s="2" t="s">
        <v>49</v>
      </c>
      <c r="S70" s="2" t="s">
        <v>47</v>
      </c>
      <c r="T70" s="2" t="s">
        <v>48</v>
      </c>
      <c r="U70" s="2" t="s">
        <v>44</v>
      </c>
      <c r="V70" s="2" t="s">
        <v>74</v>
      </c>
      <c r="W70" s="2" t="s">
        <v>48</v>
      </c>
      <c r="X70" s="2" t="s">
        <v>59</v>
      </c>
      <c r="Y70" s="2" t="s">
        <v>48</v>
      </c>
      <c r="Z70" s="2" t="s">
        <v>50</v>
      </c>
      <c r="AA70" s="2" t="s">
        <v>67</v>
      </c>
      <c r="AB70" s="2" t="s">
        <v>49</v>
      </c>
      <c r="AC70" s="1" t="s">
        <v>172</v>
      </c>
      <c r="AD70" s="2" t="s">
        <v>76</v>
      </c>
      <c r="AE70" s="2" t="s">
        <v>74</v>
      </c>
      <c r="AF70" s="2" t="s">
        <v>182</v>
      </c>
      <c r="AG70" s="2" t="s">
        <v>42</v>
      </c>
      <c r="AH70" s="7" t="n">
        <f aca="false">(O70='Labeling Rules'!$C$6)*'Labeling Rules'!$D$6+(Q70='Labeling Rules'!$C$7)*'Labeling Rules'!$D$7+(R70='Labeling Rules'!$C$8)*'Labeling Rules'!$D$8+(R70='Labeling Rules'!$C$9)*'Labeling Rules'!$D$9+(P70='Labeling Rules'!$C$10)*'Labeling Rules'!$D$10+(M70='Labeling Rules'!$C$11)*'Labeling Rules'!$D$11+(T70='Labeling Rules'!$C$12)*'Labeling Rules'!$D$12+(U70='Labeling Rules'!$C$13)*'Labeling Rules'!$D$13+(W70='Labeling Rules'!$C$14)*'Labeling Rules'!$D$14+(Y70='Labeling Rules'!$C$15)*'Labeling Rules'!$D$15</f>
        <v>1</v>
      </c>
      <c r="AI70" s="7" t="n">
        <f aca="false">IF(AH70&gt;='Labeling Rules'!$D$17,1,0)</f>
        <v>0</v>
      </c>
    </row>
    <row r="71" customFormat="false" ht="14.25" hidden="false" customHeight="false" outlineLevel="0" collapsed="false">
      <c r="A71" s="0" t="n">
        <v>70</v>
      </c>
      <c r="B71" s="6" t="n">
        <v>46159.2983333333</v>
      </c>
      <c r="C71" s="6" t="n">
        <v>46159.3074537037</v>
      </c>
      <c r="D71" s="1" t="s">
        <v>35</v>
      </c>
      <c r="F71" s="2" t="s">
        <v>63</v>
      </c>
      <c r="G71" s="2" t="s">
        <v>69</v>
      </c>
      <c r="H71" s="2" t="s">
        <v>38</v>
      </c>
      <c r="I71" s="2" t="s">
        <v>55</v>
      </c>
      <c r="J71" s="2" t="s">
        <v>65</v>
      </c>
      <c r="K71" s="2" t="s">
        <v>41</v>
      </c>
      <c r="L71" s="2" t="s">
        <v>42</v>
      </c>
      <c r="M71" s="2" t="s">
        <v>43</v>
      </c>
      <c r="N71" s="2" t="s">
        <v>43</v>
      </c>
      <c r="O71" s="2" t="s">
        <v>45</v>
      </c>
      <c r="P71" s="2" t="s">
        <v>42</v>
      </c>
      <c r="Q71" s="2" t="s">
        <v>81</v>
      </c>
      <c r="R71" s="2" t="s">
        <v>42</v>
      </c>
      <c r="S71" s="2" t="s">
        <v>42</v>
      </c>
      <c r="T71" s="2" t="s">
        <v>42</v>
      </c>
      <c r="U71" s="2" t="s">
        <v>49</v>
      </c>
      <c r="V71" s="2" t="s">
        <v>49</v>
      </c>
      <c r="W71" s="2" t="s">
        <v>48</v>
      </c>
      <c r="X71" s="2" t="s">
        <v>59</v>
      </c>
      <c r="Y71" s="2" t="s">
        <v>42</v>
      </c>
      <c r="Z71" s="2" t="s">
        <v>42</v>
      </c>
      <c r="AA71" s="2" t="s">
        <v>67</v>
      </c>
      <c r="AB71" s="2" t="s">
        <v>42</v>
      </c>
      <c r="AC71" s="1" t="s">
        <v>183</v>
      </c>
      <c r="AD71" s="2" t="s">
        <v>76</v>
      </c>
      <c r="AE71" s="2" t="s">
        <v>44</v>
      </c>
      <c r="AF71" s="2" t="s">
        <v>184</v>
      </c>
      <c r="AG71" s="1" t="s">
        <v>185</v>
      </c>
      <c r="AH71" s="7" t="n">
        <f aca="false">(O71='Labeling Rules'!$C$6)*'Labeling Rules'!$D$6+(Q71='Labeling Rules'!$C$7)*'Labeling Rules'!$D$7+(R71='Labeling Rules'!$C$8)*'Labeling Rules'!$D$8+(R71='Labeling Rules'!$C$9)*'Labeling Rules'!$D$9+(P71='Labeling Rules'!$C$10)*'Labeling Rules'!$D$10+(M71='Labeling Rules'!$C$11)*'Labeling Rules'!$D$11+(T71='Labeling Rules'!$C$12)*'Labeling Rules'!$D$12+(U71='Labeling Rules'!$C$13)*'Labeling Rules'!$D$13+(W71='Labeling Rules'!$C$14)*'Labeling Rules'!$D$14+(Y71='Labeling Rules'!$C$15)*'Labeling Rules'!$D$15</f>
        <v>8</v>
      </c>
      <c r="AI71" s="7" t="n">
        <f aca="false">IF(AH71&gt;='Labeling Rules'!$D$17,1,0)</f>
        <v>1</v>
      </c>
    </row>
    <row r="72" customFormat="false" ht="14.25" hidden="false" customHeight="false" outlineLevel="0" collapsed="false">
      <c r="A72" s="0" t="n">
        <v>71</v>
      </c>
      <c r="B72" s="6" t="n">
        <v>46159.3150694444</v>
      </c>
      <c r="C72" s="6" t="n">
        <v>46159.3172800926</v>
      </c>
      <c r="D72" s="1" t="s">
        <v>35</v>
      </c>
      <c r="F72" s="2" t="s">
        <v>36</v>
      </c>
      <c r="G72" s="2" t="s">
        <v>137</v>
      </c>
      <c r="H72" s="2" t="s">
        <v>38</v>
      </c>
      <c r="I72" s="2" t="s">
        <v>80</v>
      </c>
      <c r="J72" s="2" t="s">
        <v>56</v>
      </c>
      <c r="K72" s="2" t="s">
        <v>41</v>
      </c>
      <c r="L72" s="2" t="s">
        <v>42</v>
      </c>
      <c r="M72" s="2" t="s">
        <v>43</v>
      </c>
      <c r="N72" s="2" t="s">
        <v>43</v>
      </c>
      <c r="O72" s="2" t="s">
        <v>57</v>
      </c>
      <c r="P72" s="2" t="s">
        <v>76</v>
      </c>
      <c r="Q72" s="2" t="s">
        <v>46</v>
      </c>
      <c r="R72" s="2" t="s">
        <v>49</v>
      </c>
      <c r="S72" s="2" t="s">
        <v>47</v>
      </c>
      <c r="T72" s="2" t="s">
        <v>42</v>
      </c>
      <c r="U72" s="2" t="s">
        <v>48</v>
      </c>
      <c r="V72" s="2" t="s">
        <v>49</v>
      </c>
      <c r="W72" s="2" t="s">
        <v>48</v>
      </c>
      <c r="X72" s="2" t="s">
        <v>48</v>
      </c>
      <c r="Y72" s="2" t="s">
        <v>48</v>
      </c>
      <c r="Z72" s="2" t="s">
        <v>50</v>
      </c>
      <c r="AA72" s="2" t="s">
        <v>67</v>
      </c>
      <c r="AB72" s="2" t="s">
        <v>42</v>
      </c>
      <c r="AC72" s="1" t="s">
        <v>52</v>
      </c>
      <c r="AD72" s="2" t="s">
        <v>76</v>
      </c>
      <c r="AE72" s="2" t="s">
        <v>49</v>
      </c>
      <c r="AF72" s="1" t="s">
        <v>186</v>
      </c>
      <c r="AG72" s="1" t="s">
        <v>187</v>
      </c>
      <c r="AH72" s="7" t="n">
        <f aca="false">(O72='Labeling Rules'!$C$6)*'Labeling Rules'!$D$6+(Q72='Labeling Rules'!$C$7)*'Labeling Rules'!$D$7+(R72='Labeling Rules'!$C$8)*'Labeling Rules'!$D$8+(R72='Labeling Rules'!$C$9)*'Labeling Rules'!$D$9+(P72='Labeling Rules'!$C$10)*'Labeling Rules'!$D$10+(M72='Labeling Rules'!$C$11)*'Labeling Rules'!$D$11+(T72='Labeling Rules'!$C$12)*'Labeling Rules'!$D$12+(U72='Labeling Rules'!$C$13)*'Labeling Rules'!$D$13+(W72='Labeling Rules'!$C$14)*'Labeling Rules'!$D$14+(Y72='Labeling Rules'!$C$15)*'Labeling Rules'!$D$15</f>
        <v>3</v>
      </c>
      <c r="AI72" s="7" t="n">
        <f aca="false">IF(AH72&gt;='Labeling Rules'!$D$17,1,0)</f>
        <v>0</v>
      </c>
    </row>
    <row r="73" customFormat="false" ht="14.25" hidden="false" customHeight="false" outlineLevel="0" collapsed="false">
      <c r="A73" s="0" t="n">
        <v>72</v>
      </c>
      <c r="B73" s="6" t="n">
        <v>46159.3339583333</v>
      </c>
      <c r="C73" s="6" t="n">
        <v>46159.3403935185</v>
      </c>
      <c r="D73" s="1" t="s">
        <v>35</v>
      </c>
      <c r="F73" s="2" t="s">
        <v>36</v>
      </c>
      <c r="G73" s="2" t="s">
        <v>137</v>
      </c>
      <c r="H73" s="2" t="s">
        <v>181</v>
      </c>
      <c r="I73" s="2" t="s">
        <v>39</v>
      </c>
      <c r="J73" s="2" t="s">
        <v>56</v>
      </c>
      <c r="K73" s="2" t="s">
        <v>41</v>
      </c>
      <c r="L73" s="2" t="s">
        <v>42</v>
      </c>
      <c r="M73" s="2" t="s">
        <v>49</v>
      </c>
      <c r="N73" s="2" t="s">
        <v>74</v>
      </c>
      <c r="O73" s="2" t="s">
        <v>45</v>
      </c>
      <c r="P73" s="2" t="s">
        <v>76</v>
      </c>
      <c r="Q73" s="2" t="s">
        <v>81</v>
      </c>
      <c r="R73" s="2" t="s">
        <v>42</v>
      </c>
      <c r="S73" s="2" t="s">
        <v>42</v>
      </c>
      <c r="T73" s="2" t="s">
        <v>48</v>
      </c>
      <c r="U73" s="2" t="s">
        <v>44</v>
      </c>
      <c r="V73" s="2" t="s">
        <v>49</v>
      </c>
      <c r="W73" s="2" t="s">
        <v>48</v>
      </c>
      <c r="X73" s="2" t="s">
        <v>59</v>
      </c>
      <c r="Y73" s="2" t="s">
        <v>48</v>
      </c>
      <c r="Z73" s="2" t="s">
        <v>50</v>
      </c>
      <c r="AA73" s="2" t="s">
        <v>51</v>
      </c>
      <c r="AB73" s="2" t="s">
        <v>49</v>
      </c>
      <c r="AC73" s="1" t="s">
        <v>78</v>
      </c>
      <c r="AD73" s="2" t="s">
        <v>76</v>
      </c>
      <c r="AE73" s="2" t="s">
        <v>49</v>
      </c>
      <c r="AF73" s="2" t="s">
        <v>188</v>
      </c>
      <c r="AG73" s="2" t="s">
        <v>48</v>
      </c>
      <c r="AH73" s="7" t="n">
        <f aca="false">(O73='Labeling Rules'!$C$6)*'Labeling Rules'!$D$6+(Q73='Labeling Rules'!$C$7)*'Labeling Rules'!$D$7+(R73='Labeling Rules'!$C$8)*'Labeling Rules'!$D$8+(R73='Labeling Rules'!$C$9)*'Labeling Rules'!$D$9+(P73='Labeling Rules'!$C$10)*'Labeling Rules'!$D$10+(M73='Labeling Rules'!$C$11)*'Labeling Rules'!$D$11+(T73='Labeling Rules'!$C$12)*'Labeling Rules'!$D$12+(U73='Labeling Rules'!$C$13)*'Labeling Rules'!$D$13+(W73='Labeling Rules'!$C$14)*'Labeling Rules'!$D$14+(Y73='Labeling Rules'!$C$15)*'Labeling Rules'!$D$15</f>
        <v>6</v>
      </c>
      <c r="AI73" s="7" t="n">
        <f aca="false">IF(AH73&gt;='Labeling Rules'!$D$17,1,0)</f>
        <v>1</v>
      </c>
    </row>
    <row r="74" customFormat="false" ht="26.1" hidden="false" customHeight="false" outlineLevel="0" collapsed="false">
      <c r="A74" s="0" t="n">
        <v>73</v>
      </c>
      <c r="B74" s="6" t="n">
        <v>46159.36375</v>
      </c>
      <c r="C74" s="6" t="n">
        <v>46159.3661111111</v>
      </c>
      <c r="D74" s="1" t="s">
        <v>35</v>
      </c>
      <c r="F74" s="2" t="s">
        <v>36</v>
      </c>
      <c r="G74" s="2" t="s">
        <v>163</v>
      </c>
      <c r="H74" s="2" t="s">
        <v>38</v>
      </c>
      <c r="I74" s="2" t="s">
        <v>39</v>
      </c>
      <c r="J74" s="2" t="s">
        <v>56</v>
      </c>
      <c r="K74" s="2" t="s">
        <v>41</v>
      </c>
      <c r="L74" s="2" t="s">
        <v>42</v>
      </c>
      <c r="M74" s="2" t="s">
        <v>74</v>
      </c>
      <c r="N74" s="2" t="s">
        <v>43</v>
      </c>
      <c r="O74" s="2" t="s">
        <v>45</v>
      </c>
      <c r="P74" s="2" t="s">
        <v>76</v>
      </c>
      <c r="Q74" s="2" t="s">
        <v>46</v>
      </c>
      <c r="R74" s="2" t="s">
        <v>42</v>
      </c>
      <c r="S74" s="2" t="s">
        <v>47</v>
      </c>
      <c r="T74" s="2" t="s">
        <v>48</v>
      </c>
      <c r="U74" s="2" t="s">
        <v>44</v>
      </c>
      <c r="V74" s="2" t="s">
        <v>82</v>
      </c>
      <c r="W74" s="2" t="s">
        <v>48</v>
      </c>
      <c r="X74" s="2" t="s">
        <v>76</v>
      </c>
      <c r="Y74" s="2" t="s">
        <v>48</v>
      </c>
      <c r="Z74" s="2" t="s">
        <v>50</v>
      </c>
      <c r="AA74" s="2" t="s">
        <v>77</v>
      </c>
      <c r="AB74" s="2" t="s">
        <v>49</v>
      </c>
      <c r="AC74" s="1" t="s">
        <v>68</v>
      </c>
      <c r="AD74" s="2" t="s">
        <v>76</v>
      </c>
      <c r="AE74" s="2" t="s">
        <v>49</v>
      </c>
      <c r="AF74" s="3" t="s">
        <v>189</v>
      </c>
      <c r="AG74" s="3" t="s">
        <v>190</v>
      </c>
      <c r="AH74" s="7" t="n">
        <f aca="false">(O74='Labeling Rules'!$C$6)*'Labeling Rules'!$D$6+(Q74='Labeling Rules'!$C$7)*'Labeling Rules'!$D$7+(R74='Labeling Rules'!$C$8)*'Labeling Rules'!$D$8+(R74='Labeling Rules'!$C$9)*'Labeling Rules'!$D$9+(P74='Labeling Rules'!$C$10)*'Labeling Rules'!$D$10+(M74='Labeling Rules'!$C$11)*'Labeling Rules'!$D$11+(T74='Labeling Rules'!$C$12)*'Labeling Rules'!$D$12+(U74='Labeling Rules'!$C$13)*'Labeling Rules'!$D$13+(W74='Labeling Rules'!$C$14)*'Labeling Rules'!$D$14+(Y74='Labeling Rules'!$C$15)*'Labeling Rules'!$D$15</f>
        <v>4</v>
      </c>
      <c r="AI74" s="7" t="n">
        <f aca="false">IF(AH74&gt;='Labeling Rules'!$D$17,1,0)</f>
        <v>0</v>
      </c>
    </row>
    <row r="75" customFormat="false" ht="14.25" hidden="false" customHeight="false" outlineLevel="0" collapsed="false">
      <c r="A75" s="0" t="n">
        <v>74</v>
      </c>
      <c r="B75" s="6" t="n">
        <v>46159.3752893519</v>
      </c>
      <c r="C75" s="6" t="n">
        <v>46159.3787268519</v>
      </c>
      <c r="D75" s="1" t="s">
        <v>35</v>
      </c>
      <c r="F75" s="2" t="s">
        <v>36</v>
      </c>
      <c r="G75" s="2" t="s">
        <v>69</v>
      </c>
      <c r="H75" s="2" t="s">
        <v>38</v>
      </c>
      <c r="I75" s="2" t="s">
        <v>80</v>
      </c>
      <c r="J75" s="2" t="s">
        <v>56</v>
      </c>
      <c r="K75" s="2" t="s">
        <v>97</v>
      </c>
      <c r="L75" s="2" t="s">
        <v>42</v>
      </c>
      <c r="M75" s="2" t="s">
        <v>43</v>
      </c>
      <c r="N75" s="2" t="s">
        <v>43</v>
      </c>
      <c r="O75" s="2" t="s">
        <v>66</v>
      </c>
      <c r="P75" s="2" t="s">
        <v>42</v>
      </c>
      <c r="Q75" s="2" t="s">
        <v>46</v>
      </c>
      <c r="R75" s="2" t="s">
        <v>42</v>
      </c>
      <c r="S75" s="2" t="s">
        <v>47</v>
      </c>
      <c r="T75" s="2" t="s">
        <v>42</v>
      </c>
      <c r="U75" s="2" t="s">
        <v>44</v>
      </c>
      <c r="V75" s="2" t="s">
        <v>49</v>
      </c>
      <c r="W75" s="2" t="s">
        <v>48</v>
      </c>
      <c r="X75" s="2" t="s">
        <v>59</v>
      </c>
      <c r="Y75" s="2" t="s">
        <v>48</v>
      </c>
      <c r="Z75" s="2" t="s">
        <v>50</v>
      </c>
      <c r="AA75" s="2" t="s">
        <v>67</v>
      </c>
      <c r="AB75" s="2" t="s">
        <v>42</v>
      </c>
      <c r="AC75" s="1" t="s">
        <v>95</v>
      </c>
      <c r="AD75" s="2" t="s">
        <v>42</v>
      </c>
      <c r="AE75" s="2" t="s">
        <v>49</v>
      </c>
      <c r="AF75" s="2" t="s">
        <v>191</v>
      </c>
      <c r="AG75" s="2" t="s">
        <v>109</v>
      </c>
      <c r="AH75" s="7" t="n">
        <f aca="false">(O75='Labeling Rules'!$C$6)*'Labeling Rules'!$D$6+(Q75='Labeling Rules'!$C$7)*'Labeling Rules'!$D$7+(R75='Labeling Rules'!$C$8)*'Labeling Rules'!$D$8+(R75='Labeling Rules'!$C$9)*'Labeling Rules'!$D$9+(P75='Labeling Rules'!$C$10)*'Labeling Rules'!$D$10+(M75='Labeling Rules'!$C$11)*'Labeling Rules'!$D$11+(T75='Labeling Rules'!$C$12)*'Labeling Rules'!$D$12+(U75='Labeling Rules'!$C$13)*'Labeling Rules'!$D$13+(W75='Labeling Rules'!$C$14)*'Labeling Rules'!$D$14+(Y75='Labeling Rules'!$C$15)*'Labeling Rules'!$D$15</f>
        <v>3</v>
      </c>
      <c r="AI75" s="7" t="n">
        <f aca="false">IF(AH75&gt;='Labeling Rules'!$D$17,1,0)</f>
        <v>0</v>
      </c>
    </row>
    <row r="76" customFormat="false" ht="14.25" hidden="false" customHeight="false" outlineLevel="0" collapsed="false">
      <c r="A76" s="0" t="n">
        <v>75</v>
      </c>
      <c r="B76" s="6" t="n">
        <v>46159.3865162037</v>
      </c>
      <c r="C76" s="6" t="n">
        <v>46159.3884953704</v>
      </c>
      <c r="D76" s="1" t="s">
        <v>35</v>
      </c>
      <c r="F76" s="2" t="s">
        <v>36</v>
      </c>
      <c r="G76" s="2" t="s">
        <v>69</v>
      </c>
      <c r="H76" s="2" t="s">
        <v>38</v>
      </c>
      <c r="I76" s="2" t="s">
        <v>55</v>
      </c>
      <c r="J76" s="2" t="s">
        <v>56</v>
      </c>
      <c r="K76" s="2" t="s">
        <v>41</v>
      </c>
      <c r="L76" s="2" t="s">
        <v>42</v>
      </c>
      <c r="M76" s="2" t="s">
        <v>43</v>
      </c>
      <c r="N76" s="2" t="s">
        <v>43</v>
      </c>
      <c r="O76" s="2" t="s">
        <v>45</v>
      </c>
      <c r="P76" s="2" t="s">
        <v>76</v>
      </c>
      <c r="Q76" s="2" t="s">
        <v>81</v>
      </c>
      <c r="R76" s="2" t="s">
        <v>49</v>
      </c>
      <c r="S76" s="2" t="s">
        <v>47</v>
      </c>
      <c r="T76" s="2" t="s">
        <v>42</v>
      </c>
      <c r="U76" s="2" t="s">
        <v>49</v>
      </c>
      <c r="V76" s="2" t="s">
        <v>49</v>
      </c>
      <c r="W76" s="2" t="s">
        <v>48</v>
      </c>
      <c r="X76" s="2" t="s">
        <v>76</v>
      </c>
      <c r="Y76" s="2" t="s">
        <v>48</v>
      </c>
      <c r="Z76" s="2" t="s">
        <v>50</v>
      </c>
      <c r="AA76" s="2" t="s">
        <v>51</v>
      </c>
      <c r="AB76" s="2" t="s">
        <v>49</v>
      </c>
      <c r="AC76" s="1" t="s">
        <v>52</v>
      </c>
      <c r="AD76" s="2" t="s">
        <v>76</v>
      </c>
      <c r="AE76" s="2" t="s">
        <v>49</v>
      </c>
      <c r="AF76" s="1" t="s">
        <v>62</v>
      </c>
      <c r="AG76" s="2" t="s">
        <v>42</v>
      </c>
      <c r="AH76" s="7" t="n">
        <f aca="false">(O76='Labeling Rules'!$C$6)*'Labeling Rules'!$D$6+(Q76='Labeling Rules'!$C$7)*'Labeling Rules'!$D$7+(R76='Labeling Rules'!$C$8)*'Labeling Rules'!$D$8+(R76='Labeling Rules'!$C$9)*'Labeling Rules'!$D$9+(P76='Labeling Rules'!$C$10)*'Labeling Rules'!$D$10+(M76='Labeling Rules'!$C$11)*'Labeling Rules'!$D$11+(T76='Labeling Rules'!$C$12)*'Labeling Rules'!$D$12+(U76='Labeling Rules'!$C$13)*'Labeling Rules'!$D$13+(W76='Labeling Rules'!$C$14)*'Labeling Rules'!$D$14+(Y76='Labeling Rules'!$C$15)*'Labeling Rules'!$D$15</f>
        <v>6</v>
      </c>
      <c r="AI76" s="7" t="n">
        <f aca="false">IF(AH76&gt;='Labeling Rules'!$D$17,1,0)</f>
        <v>1</v>
      </c>
    </row>
    <row r="77" customFormat="false" ht="14.25" hidden="false" customHeight="false" outlineLevel="0" collapsed="false">
      <c r="A77" s="0" t="n">
        <v>76</v>
      </c>
      <c r="B77" s="6" t="n">
        <v>46159.3890972222</v>
      </c>
      <c r="C77" s="6" t="n">
        <v>46159.392025463</v>
      </c>
      <c r="D77" s="1" t="s">
        <v>35</v>
      </c>
      <c r="F77" s="2" t="s">
        <v>36</v>
      </c>
      <c r="G77" s="2" t="s">
        <v>37</v>
      </c>
      <c r="H77" s="2" t="s">
        <v>38</v>
      </c>
      <c r="I77" s="2" t="s">
        <v>64</v>
      </c>
      <c r="J77" s="2" t="s">
        <v>56</v>
      </c>
      <c r="K77" s="2" t="s">
        <v>41</v>
      </c>
      <c r="L77" s="2" t="s">
        <v>42</v>
      </c>
      <c r="M77" s="2" t="s">
        <v>49</v>
      </c>
      <c r="N77" s="2" t="s">
        <v>49</v>
      </c>
      <c r="O77" s="2" t="s">
        <v>57</v>
      </c>
      <c r="P77" s="2" t="s">
        <v>42</v>
      </c>
      <c r="Q77" s="2" t="s">
        <v>46</v>
      </c>
      <c r="R77" s="2" t="s">
        <v>49</v>
      </c>
      <c r="S77" s="2" t="s">
        <v>47</v>
      </c>
      <c r="T77" s="2" t="s">
        <v>48</v>
      </c>
      <c r="U77" s="2" t="s">
        <v>44</v>
      </c>
      <c r="V77" s="2" t="s">
        <v>49</v>
      </c>
      <c r="W77" s="2" t="s">
        <v>48</v>
      </c>
      <c r="X77" s="2" t="s">
        <v>59</v>
      </c>
      <c r="Y77" s="2" t="s">
        <v>42</v>
      </c>
      <c r="Z77" s="2" t="s">
        <v>83</v>
      </c>
      <c r="AA77" s="2" t="s">
        <v>67</v>
      </c>
      <c r="AB77" s="2" t="s">
        <v>49</v>
      </c>
      <c r="AC77" s="1" t="s">
        <v>52</v>
      </c>
      <c r="AD77" s="2" t="s">
        <v>76</v>
      </c>
      <c r="AE77" s="2" t="s">
        <v>49</v>
      </c>
      <c r="AF77" s="2" t="s">
        <v>192</v>
      </c>
      <c r="AG77" s="2" t="s">
        <v>193</v>
      </c>
      <c r="AH77" s="7" t="n">
        <f aca="false">(O77='Labeling Rules'!$C$6)*'Labeling Rules'!$D$6+(Q77='Labeling Rules'!$C$7)*'Labeling Rules'!$D$7+(R77='Labeling Rules'!$C$8)*'Labeling Rules'!$D$8+(R77='Labeling Rules'!$C$9)*'Labeling Rules'!$D$9+(P77='Labeling Rules'!$C$10)*'Labeling Rules'!$D$10+(M77='Labeling Rules'!$C$11)*'Labeling Rules'!$D$11+(T77='Labeling Rules'!$C$12)*'Labeling Rules'!$D$12+(U77='Labeling Rules'!$C$13)*'Labeling Rules'!$D$13+(W77='Labeling Rules'!$C$14)*'Labeling Rules'!$D$14+(Y77='Labeling Rules'!$C$15)*'Labeling Rules'!$D$15</f>
        <v>2</v>
      </c>
      <c r="AI77" s="7" t="n">
        <f aca="false">IF(AH77&gt;='Labeling Rules'!$D$17,1,0)</f>
        <v>0</v>
      </c>
    </row>
    <row r="78" customFormat="false" ht="14.25" hidden="false" customHeight="false" outlineLevel="0" collapsed="false">
      <c r="A78" s="0" t="n">
        <v>77</v>
      </c>
      <c r="B78" s="6" t="n">
        <v>46159.3874305556</v>
      </c>
      <c r="C78" s="6" t="n">
        <v>46159.4086342593</v>
      </c>
      <c r="D78" s="1" t="s">
        <v>35</v>
      </c>
      <c r="F78" s="2" t="s">
        <v>36</v>
      </c>
      <c r="G78" s="2" t="s">
        <v>37</v>
      </c>
      <c r="H78" s="2" t="s">
        <v>38</v>
      </c>
      <c r="I78" s="2" t="s">
        <v>80</v>
      </c>
      <c r="J78" s="2" t="s">
        <v>56</v>
      </c>
      <c r="K78" s="2" t="s">
        <v>41</v>
      </c>
      <c r="L78" s="2" t="s">
        <v>42</v>
      </c>
      <c r="M78" s="2" t="s">
        <v>44</v>
      </c>
      <c r="N78" s="2" t="s">
        <v>49</v>
      </c>
      <c r="O78" s="2" t="s">
        <v>45</v>
      </c>
      <c r="P78" s="2" t="s">
        <v>76</v>
      </c>
      <c r="Q78" s="2" t="s">
        <v>81</v>
      </c>
      <c r="R78" s="2" t="s">
        <v>49</v>
      </c>
      <c r="S78" s="2" t="s">
        <v>47</v>
      </c>
      <c r="T78" s="2" t="s">
        <v>42</v>
      </c>
      <c r="U78" s="2" t="s">
        <v>49</v>
      </c>
      <c r="V78" s="2" t="s">
        <v>49</v>
      </c>
      <c r="W78" s="2" t="s">
        <v>48</v>
      </c>
      <c r="X78" s="2" t="s">
        <v>76</v>
      </c>
      <c r="Y78" s="2" t="s">
        <v>42</v>
      </c>
      <c r="Z78" s="2" t="s">
        <v>42</v>
      </c>
      <c r="AA78" s="2" t="s">
        <v>77</v>
      </c>
      <c r="AB78" s="2" t="s">
        <v>42</v>
      </c>
      <c r="AC78" s="1" t="s">
        <v>113</v>
      </c>
      <c r="AD78" s="2" t="s">
        <v>76</v>
      </c>
      <c r="AE78" s="2" t="s">
        <v>44</v>
      </c>
      <c r="AF78" s="2" t="s">
        <v>194</v>
      </c>
      <c r="AG78" s="2" t="s">
        <v>48</v>
      </c>
      <c r="AH78" s="7" t="n">
        <f aca="false">(O78='Labeling Rules'!$C$6)*'Labeling Rules'!$D$6+(Q78='Labeling Rules'!$C$7)*'Labeling Rules'!$D$7+(R78='Labeling Rules'!$C$8)*'Labeling Rules'!$D$8+(R78='Labeling Rules'!$C$9)*'Labeling Rules'!$D$9+(P78='Labeling Rules'!$C$10)*'Labeling Rules'!$D$10+(M78='Labeling Rules'!$C$11)*'Labeling Rules'!$D$11+(T78='Labeling Rules'!$C$12)*'Labeling Rules'!$D$12+(U78='Labeling Rules'!$C$13)*'Labeling Rules'!$D$13+(W78='Labeling Rules'!$C$14)*'Labeling Rules'!$D$14+(Y78='Labeling Rules'!$C$15)*'Labeling Rules'!$D$15</f>
        <v>8</v>
      </c>
      <c r="AI78" s="7" t="n">
        <f aca="false">IF(AH78&gt;='Labeling Rules'!$D$17,1,0)</f>
        <v>1</v>
      </c>
    </row>
    <row r="79" customFormat="false" ht="14.25" hidden="false" customHeight="false" outlineLevel="0" collapsed="false">
      <c r="A79" s="0" t="n">
        <v>78</v>
      </c>
      <c r="B79" s="6" t="n">
        <v>46159.4104513889</v>
      </c>
      <c r="C79" s="6" t="n">
        <v>46159.413912037</v>
      </c>
      <c r="D79" s="1" t="s">
        <v>35</v>
      </c>
      <c r="F79" s="2" t="s">
        <v>36</v>
      </c>
      <c r="G79" s="2" t="s">
        <v>137</v>
      </c>
      <c r="H79" s="2" t="s">
        <v>38</v>
      </c>
      <c r="I79" s="2" t="s">
        <v>39</v>
      </c>
      <c r="J79" s="2" t="s">
        <v>65</v>
      </c>
      <c r="K79" s="2" t="s">
        <v>41</v>
      </c>
      <c r="L79" s="2" t="s">
        <v>42</v>
      </c>
      <c r="M79" s="2" t="s">
        <v>49</v>
      </c>
      <c r="N79" s="2" t="s">
        <v>49</v>
      </c>
      <c r="O79" s="2" t="s">
        <v>66</v>
      </c>
      <c r="P79" s="2" t="s">
        <v>48</v>
      </c>
      <c r="Q79" s="2" t="s">
        <v>46</v>
      </c>
      <c r="R79" s="2" t="s">
        <v>49</v>
      </c>
      <c r="S79" s="2" t="s">
        <v>48</v>
      </c>
      <c r="T79" s="2" t="s">
        <v>48</v>
      </c>
      <c r="U79" s="2" t="s">
        <v>44</v>
      </c>
      <c r="V79" s="2" t="s">
        <v>74</v>
      </c>
      <c r="W79" s="2" t="s">
        <v>48</v>
      </c>
      <c r="X79" s="2" t="s">
        <v>48</v>
      </c>
      <c r="Y79" s="2" t="s">
        <v>48</v>
      </c>
      <c r="Z79" s="2" t="s">
        <v>50</v>
      </c>
      <c r="AA79" s="2" t="s">
        <v>77</v>
      </c>
      <c r="AB79" s="2" t="s">
        <v>42</v>
      </c>
      <c r="AC79" s="1" t="s">
        <v>61</v>
      </c>
      <c r="AD79" s="2" t="s">
        <v>76</v>
      </c>
      <c r="AE79" s="2" t="s">
        <v>49</v>
      </c>
      <c r="AF79" s="2" t="s">
        <v>195</v>
      </c>
      <c r="AG79" s="2" t="s">
        <v>42</v>
      </c>
      <c r="AH79" s="7" t="n">
        <f aca="false">(O79='Labeling Rules'!$C$6)*'Labeling Rules'!$D$6+(Q79='Labeling Rules'!$C$7)*'Labeling Rules'!$D$7+(R79='Labeling Rules'!$C$8)*'Labeling Rules'!$D$8+(R79='Labeling Rules'!$C$9)*'Labeling Rules'!$D$9+(P79='Labeling Rules'!$C$10)*'Labeling Rules'!$D$10+(M79='Labeling Rules'!$C$11)*'Labeling Rules'!$D$11+(T79='Labeling Rules'!$C$12)*'Labeling Rules'!$D$12+(U79='Labeling Rules'!$C$13)*'Labeling Rules'!$D$13+(W79='Labeling Rules'!$C$14)*'Labeling Rules'!$D$14+(Y79='Labeling Rules'!$C$15)*'Labeling Rules'!$D$15</f>
        <v>2</v>
      </c>
      <c r="AI79" s="7" t="n">
        <f aca="false">IF(AH79&gt;='Labeling Rules'!$D$17,1,0)</f>
        <v>0</v>
      </c>
    </row>
    <row r="80" customFormat="false" ht="14.25" hidden="false" customHeight="false" outlineLevel="0" collapsed="false">
      <c r="A80" s="0" t="n">
        <v>79</v>
      </c>
      <c r="B80" s="6" t="n">
        <v>46159.4134722222</v>
      </c>
      <c r="C80" s="6" t="n">
        <v>46159.417349537</v>
      </c>
      <c r="D80" s="1" t="s">
        <v>35</v>
      </c>
      <c r="F80" s="2" t="s">
        <v>36</v>
      </c>
      <c r="G80" s="2" t="s">
        <v>137</v>
      </c>
      <c r="H80" s="2" t="s">
        <v>38</v>
      </c>
      <c r="I80" s="2" t="s">
        <v>80</v>
      </c>
      <c r="J80" s="2" t="s">
        <v>56</v>
      </c>
      <c r="K80" s="2" t="s">
        <v>41</v>
      </c>
      <c r="L80" s="2" t="s">
        <v>42</v>
      </c>
      <c r="M80" s="2" t="s">
        <v>43</v>
      </c>
      <c r="N80" s="2" t="s">
        <v>43</v>
      </c>
      <c r="O80" s="2" t="s">
        <v>57</v>
      </c>
      <c r="P80" s="2" t="s">
        <v>42</v>
      </c>
      <c r="Q80" s="2" t="s">
        <v>58</v>
      </c>
      <c r="R80" s="2" t="s">
        <v>49</v>
      </c>
      <c r="S80" s="2" t="s">
        <v>47</v>
      </c>
      <c r="T80" s="2" t="s">
        <v>42</v>
      </c>
      <c r="U80" s="2" t="s">
        <v>48</v>
      </c>
      <c r="V80" s="2" t="s">
        <v>49</v>
      </c>
      <c r="W80" s="2" t="s">
        <v>48</v>
      </c>
      <c r="X80" s="2" t="s">
        <v>59</v>
      </c>
      <c r="Y80" s="2" t="s">
        <v>42</v>
      </c>
      <c r="Z80" s="2" t="s">
        <v>42</v>
      </c>
      <c r="AA80" s="2" t="s">
        <v>51</v>
      </c>
      <c r="AB80" s="2" t="s">
        <v>49</v>
      </c>
      <c r="AC80" s="1" t="s">
        <v>52</v>
      </c>
      <c r="AD80" s="2" t="s">
        <v>76</v>
      </c>
      <c r="AE80" s="2" t="s">
        <v>49</v>
      </c>
      <c r="AF80" s="2" t="s">
        <v>196</v>
      </c>
      <c r="AG80" s="2" t="s">
        <v>48</v>
      </c>
      <c r="AH80" s="7" t="n">
        <f aca="false">(O80='Labeling Rules'!$C$6)*'Labeling Rules'!$D$6+(Q80='Labeling Rules'!$C$7)*'Labeling Rules'!$D$7+(R80='Labeling Rules'!$C$8)*'Labeling Rules'!$D$8+(R80='Labeling Rules'!$C$9)*'Labeling Rules'!$D$9+(P80='Labeling Rules'!$C$10)*'Labeling Rules'!$D$10+(M80='Labeling Rules'!$C$11)*'Labeling Rules'!$D$11+(T80='Labeling Rules'!$C$12)*'Labeling Rules'!$D$12+(U80='Labeling Rules'!$C$13)*'Labeling Rules'!$D$13+(W80='Labeling Rules'!$C$14)*'Labeling Rules'!$D$14+(Y80='Labeling Rules'!$C$15)*'Labeling Rules'!$D$15</f>
        <v>4</v>
      </c>
      <c r="AI80" s="7" t="n">
        <f aca="false">IF(AH80&gt;='Labeling Rules'!$D$17,1,0)</f>
        <v>0</v>
      </c>
    </row>
    <row r="81" customFormat="false" ht="14.25" hidden="false" customHeight="false" outlineLevel="0" collapsed="false">
      <c r="A81" s="0" t="n">
        <v>80</v>
      </c>
      <c r="B81" s="6" t="n">
        <v>46159.4258449074</v>
      </c>
      <c r="C81" s="6" t="n">
        <v>46159.4342013889</v>
      </c>
      <c r="D81" s="1" t="s">
        <v>35</v>
      </c>
      <c r="F81" s="2" t="s">
        <v>36</v>
      </c>
      <c r="G81" s="2" t="s">
        <v>73</v>
      </c>
      <c r="H81" s="2" t="s">
        <v>38</v>
      </c>
      <c r="I81" s="2" t="s">
        <v>64</v>
      </c>
      <c r="J81" s="2" t="s">
        <v>65</v>
      </c>
      <c r="K81" s="2" t="s">
        <v>41</v>
      </c>
      <c r="L81" s="2" t="s">
        <v>42</v>
      </c>
      <c r="M81" s="2" t="s">
        <v>49</v>
      </c>
      <c r="N81" s="2" t="s">
        <v>74</v>
      </c>
      <c r="O81" s="2" t="s">
        <v>45</v>
      </c>
      <c r="P81" s="2" t="s">
        <v>76</v>
      </c>
      <c r="Q81" s="2" t="s">
        <v>81</v>
      </c>
      <c r="R81" s="2" t="s">
        <v>49</v>
      </c>
      <c r="S81" s="2" t="s">
        <v>47</v>
      </c>
      <c r="T81" s="2" t="s">
        <v>48</v>
      </c>
      <c r="U81" s="2" t="s">
        <v>44</v>
      </c>
      <c r="V81" s="2" t="s">
        <v>74</v>
      </c>
      <c r="W81" s="2" t="s">
        <v>48</v>
      </c>
      <c r="X81" s="2" t="s">
        <v>76</v>
      </c>
      <c r="Y81" s="2" t="s">
        <v>48</v>
      </c>
      <c r="Z81" s="2" t="s">
        <v>50</v>
      </c>
      <c r="AA81" s="2" t="s">
        <v>77</v>
      </c>
      <c r="AB81" s="2" t="s">
        <v>49</v>
      </c>
      <c r="AC81" s="1" t="s">
        <v>197</v>
      </c>
      <c r="AD81" s="2" t="s">
        <v>76</v>
      </c>
      <c r="AE81" s="2" t="s">
        <v>74</v>
      </c>
      <c r="AF81" s="2" t="s">
        <v>198</v>
      </c>
      <c r="AG81" s="2" t="s">
        <v>144</v>
      </c>
      <c r="AH81" s="7" t="n">
        <f aca="false">(O81='Labeling Rules'!$C$6)*'Labeling Rules'!$D$6+(Q81='Labeling Rules'!$C$7)*'Labeling Rules'!$D$7+(R81='Labeling Rules'!$C$8)*'Labeling Rules'!$D$8+(R81='Labeling Rules'!$C$9)*'Labeling Rules'!$D$9+(P81='Labeling Rules'!$C$10)*'Labeling Rules'!$D$10+(M81='Labeling Rules'!$C$11)*'Labeling Rules'!$D$11+(T81='Labeling Rules'!$C$12)*'Labeling Rules'!$D$12+(U81='Labeling Rules'!$C$13)*'Labeling Rules'!$D$13+(W81='Labeling Rules'!$C$14)*'Labeling Rules'!$D$14+(Y81='Labeling Rules'!$C$15)*'Labeling Rules'!$D$15</f>
        <v>5</v>
      </c>
      <c r="AI81" s="7" t="n">
        <f aca="false">IF(AH81&gt;='Labeling Rules'!$D$17,1,0)</f>
        <v>1</v>
      </c>
    </row>
    <row r="82" customFormat="false" ht="14.25" hidden="false" customHeight="false" outlineLevel="0" collapsed="false">
      <c r="A82" s="0" t="n">
        <v>81</v>
      </c>
      <c r="B82" s="6" t="n">
        <v>46159.4327430556</v>
      </c>
      <c r="C82" s="6" t="n">
        <v>46159.4357060185</v>
      </c>
      <c r="D82" s="1" t="s">
        <v>35</v>
      </c>
      <c r="F82" s="2" t="s">
        <v>36</v>
      </c>
      <c r="G82" s="2" t="s">
        <v>73</v>
      </c>
      <c r="H82" s="2" t="s">
        <v>38</v>
      </c>
      <c r="I82" s="2" t="s">
        <v>64</v>
      </c>
      <c r="J82" s="2" t="s">
        <v>65</v>
      </c>
      <c r="K82" s="2" t="s">
        <v>41</v>
      </c>
      <c r="L82" s="2" t="s">
        <v>42</v>
      </c>
      <c r="M82" s="2" t="s">
        <v>43</v>
      </c>
      <c r="N82" s="2" t="s">
        <v>43</v>
      </c>
      <c r="O82" s="2" t="s">
        <v>66</v>
      </c>
      <c r="P82" s="2" t="s">
        <v>42</v>
      </c>
      <c r="Q82" s="2" t="s">
        <v>58</v>
      </c>
      <c r="R82" s="2" t="s">
        <v>48</v>
      </c>
      <c r="S82" s="2" t="s">
        <v>47</v>
      </c>
      <c r="T82" s="2" t="s">
        <v>48</v>
      </c>
      <c r="U82" s="2" t="s">
        <v>44</v>
      </c>
      <c r="V82" s="2" t="s">
        <v>49</v>
      </c>
      <c r="W82" s="2" t="s">
        <v>48</v>
      </c>
      <c r="X82" s="2" t="s">
        <v>59</v>
      </c>
      <c r="Y82" s="2" t="s">
        <v>48</v>
      </c>
      <c r="Z82" s="2" t="s">
        <v>50</v>
      </c>
      <c r="AA82" s="2" t="s">
        <v>51</v>
      </c>
      <c r="AB82" s="2" t="s">
        <v>49</v>
      </c>
      <c r="AC82" s="1" t="s">
        <v>52</v>
      </c>
      <c r="AD82" s="2" t="s">
        <v>42</v>
      </c>
      <c r="AE82" s="2" t="s">
        <v>49</v>
      </c>
      <c r="AF82" s="2" t="s">
        <v>199</v>
      </c>
      <c r="AG82" s="2" t="s">
        <v>109</v>
      </c>
      <c r="AH82" s="7" t="n">
        <f aca="false">(O82='Labeling Rules'!$C$6)*'Labeling Rules'!$D$6+(Q82='Labeling Rules'!$C$7)*'Labeling Rules'!$D$7+(R82='Labeling Rules'!$C$8)*'Labeling Rules'!$D$8+(R82='Labeling Rules'!$C$9)*'Labeling Rules'!$D$9+(P82='Labeling Rules'!$C$10)*'Labeling Rules'!$D$10+(M82='Labeling Rules'!$C$11)*'Labeling Rules'!$D$11+(T82='Labeling Rules'!$C$12)*'Labeling Rules'!$D$12+(U82='Labeling Rules'!$C$13)*'Labeling Rules'!$D$13+(W82='Labeling Rules'!$C$14)*'Labeling Rules'!$D$14+(Y82='Labeling Rules'!$C$15)*'Labeling Rules'!$D$15</f>
        <v>0</v>
      </c>
      <c r="AI82" s="7" t="n">
        <f aca="false">IF(AH82&gt;='Labeling Rules'!$D$17,1,0)</f>
        <v>0</v>
      </c>
    </row>
    <row r="83" customFormat="false" ht="35.05" hidden="false" customHeight="false" outlineLevel="0" collapsed="false">
      <c r="A83" s="0" t="n">
        <v>82</v>
      </c>
      <c r="B83" s="6" t="n">
        <v>46159.4340393519</v>
      </c>
      <c r="C83" s="6" t="n">
        <v>46159.4380555556</v>
      </c>
      <c r="D83" s="1" t="s">
        <v>35</v>
      </c>
      <c r="F83" s="2" t="s">
        <v>36</v>
      </c>
      <c r="G83" s="2" t="s">
        <v>37</v>
      </c>
      <c r="H83" s="2" t="s">
        <v>38</v>
      </c>
      <c r="I83" s="2" t="s">
        <v>39</v>
      </c>
      <c r="J83" s="2" t="s">
        <v>56</v>
      </c>
      <c r="K83" s="2" t="s">
        <v>41</v>
      </c>
      <c r="L83" s="2" t="s">
        <v>42</v>
      </c>
      <c r="M83" s="2" t="s">
        <v>74</v>
      </c>
      <c r="N83" s="2" t="s">
        <v>49</v>
      </c>
      <c r="O83" s="2" t="s">
        <v>57</v>
      </c>
      <c r="P83" s="2" t="s">
        <v>76</v>
      </c>
      <c r="Q83" s="2" t="s">
        <v>46</v>
      </c>
      <c r="R83" s="2" t="s">
        <v>48</v>
      </c>
      <c r="S83" s="2" t="s">
        <v>47</v>
      </c>
      <c r="T83" s="2" t="s">
        <v>48</v>
      </c>
      <c r="U83" s="2" t="s">
        <v>44</v>
      </c>
      <c r="V83" s="2" t="s">
        <v>49</v>
      </c>
      <c r="W83" s="2" t="s">
        <v>48</v>
      </c>
      <c r="X83" s="2" t="s">
        <v>48</v>
      </c>
      <c r="Y83" s="2" t="s">
        <v>48</v>
      </c>
      <c r="Z83" s="2" t="s">
        <v>50</v>
      </c>
      <c r="AA83" s="2" t="s">
        <v>77</v>
      </c>
      <c r="AB83" s="2" t="s">
        <v>42</v>
      </c>
      <c r="AC83" s="1" t="s">
        <v>140</v>
      </c>
      <c r="AD83" s="2" t="s">
        <v>48</v>
      </c>
      <c r="AE83" s="2" t="s">
        <v>74</v>
      </c>
      <c r="AF83" s="3" t="s">
        <v>200</v>
      </c>
      <c r="AG83" s="2" t="s">
        <v>201</v>
      </c>
      <c r="AH83" s="7" t="n">
        <f aca="false">(O83='Labeling Rules'!$C$6)*'Labeling Rules'!$D$6+(Q83='Labeling Rules'!$C$7)*'Labeling Rules'!$D$7+(R83='Labeling Rules'!$C$8)*'Labeling Rules'!$D$8+(R83='Labeling Rules'!$C$9)*'Labeling Rules'!$D$9+(P83='Labeling Rules'!$C$10)*'Labeling Rules'!$D$10+(M83='Labeling Rules'!$C$11)*'Labeling Rules'!$D$11+(T83='Labeling Rules'!$C$12)*'Labeling Rules'!$D$12+(U83='Labeling Rules'!$C$13)*'Labeling Rules'!$D$13+(W83='Labeling Rules'!$C$14)*'Labeling Rules'!$D$14+(Y83='Labeling Rules'!$C$15)*'Labeling Rules'!$D$15</f>
        <v>0</v>
      </c>
      <c r="AI83" s="7" t="n">
        <f aca="false">IF(AH83&gt;='Labeling Rules'!$D$17,1,0)</f>
        <v>0</v>
      </c>
    </row>
    <row r="84" customFormat="false" ht="14.25" hidden="false" customHeight="false" outlineLevel="0" collapsed="false">
      <c r="A84" s="0" t="n">
        <v>83</v>
      </c>
      <c r="B84" s="6" t="n">
        <v>46159.4441782407</v>
      </c>
      <c r="C84" s="6" t="n">
        <v>46159.4466550926</v>
      </c>
      <c r="D84" s="1" t="s">
        <v>35</v>
      </c>
      <c r="F84" s="2" t="s">
        <v>36</v>
      </c>
      <c r="G84" s="2" t="s">
        <v>37</v>
      </c>
      <c r="H84" s="2" t="s">
        <v>38</v>
      </c>
      <c r="I84" s="2" t="s">
        <v>155</v>
      </c>
      <c r="J84" s="2" t="s">
        <v>56</v>
      </c>
      <c r="K84" s="2" t="s">
        <v>97</v>
      </c>
      <c r="L84" s="2" t="s">
        <v>42</v>
      </c>
      <c r="M84" s="2" t="s">
        <v>44</v>
      </c>
      <c r="N84" s="2" t="s">
        <v>44</v>
      </c>
      <c r="O84" s="2" t="s">
        <v>57</v>
      </c>
      <c r="P84" s="2" t="s">
        <v>76</v>
      </c>
      <c r="Q84" s="2" t="s">
        <v>46</v>
      </c>
      <c r="R84" s="2" t="s">
        <v>49</v>
      </c>
      <c r="S84" s="2" t="s">
        <v>48</v>
      </c>
      <c r="T84" s="2" t="s">
        <v>42</v>
      </c>
      <c r="U84" s="2" t="s">
        <v>48</v>
      </c>
      <c r="V84" s="2" t="s">
        <v>49</v>
      </c>
      <c r="W84" s="2" t="s">
        <v>48</v>
      </c>
      <c r="X84" s="2" t="s">
        <v>76</v>
      </c>
      <c r="Y84" s="2" t="s">
        <v>48</v>
      </c>
      <c r="Z84" s="2" t="s">
        <v>50</v>
      </c>
      <c r="AA84" s="2" t="s">
        <v>67</v>
      </c>
      <c r="AB84" s="2" t="s">
        <v>49</v>
      </c>
      <c r="AC84" s="1" t="s">
        <v>68</v>
      </c>
      <c r="AD84" s="2" t="s">
        <v>76</v>
      </c>
      <c r="AE84" s="2" t="s">
        <v>44</v>
      </c>
      <c r="AF84" s="2" t="s">
        <v>202</v>
      </c>
      <c r="AG84" s="2" t="s">
        <v>42</v>
      </c>
      <c r="AH84" s="7" t="n">
        <f aca="false">(O84='Labeling Rules'!$C$6)*'Labeling Rules'!$D$6+(Q84='Labeling Rules'!$C$7)*'Labeling Rules'!$D$7+(R84='Labeling Rules'!$C$8)*'Labeling Rules'!$D$8+(R84='Labeling Rules'!$C$9)*'Labeling Rules'!$D$9+(P84='Labeling Rules'!$C$10)*'Labeling Rules'!$D$10+(M84='Labeling Rules'!$C$11)*'Labeling Rules'!$D$11+(T84='Labeling Rules'!$C$12)*'Labeling Rules'!$D$12+(U84='Labeling Rules'!$C$13)*'Labeling Rules'!$D$13+(W84='Labeling Rules'!$C$14)*'Labeling Rules'!$D$14+(Y84='Labeling Rules'!$C$15)*'Labeling Rules'!$D$15</f>
        <v>4</v>
      </c>
      <c r="AI84" s="7" t="n">
        <f aca="false">IF(AH84&gt;='Labeling Rules'!$D$17,1,0)</f>
        <v>0</v>
      </c>
    </row>
    <row r="85" customFormat="false" ht="14.25" hidden="false" customHeight="false" outlineLevel="0" collapsed="false">
      <c r="A85" s="0" t="n">
        <v>84</v>
      </c>
      <c r="B85" s="6" t="n">
        <v>46159.4565625</v>
      </c>
      <c r="C85" s="6" t="n">
        <v>46159.4604861111</v>
      </c>
      <c r="D85" s="1" t="s">
        <v>35</v>
      </c>
      <c r="F85" s="2" t="s">
        <v>63</v>
      </c>
      <c r="G85" s="2" t="s">
        <v>69</v>
      </c>
      <c r="H85" s="2" t="s">
        <v>38</v>
      </c>
      <c r="I85" s="2" t="s">
        <v>80</v>
      </c>
      <c r="J85" s="2" t="s">
        <v>56</v>
      </c>
      <c r="K85" s="2" t="s">
        <v>41</v>
      </c>
      <c r="L85" s="2" t="s">
        <v>42</v>
      </c>
      <c r="M85" s="2" t="s">
        <v>43</v>
      </c>
      <c r="N85" s="2" t="s">
        <v>49</v>
      </c>
      <c r="O85" s="2" t="s">
        <v>66</v>
      </c>
      <c r="P85" s="2" t="s">
        <v>76</v>
      </c>
      <c r="Q85" s="2" t="s">
        <v>58</v>
      </c>
      <c r="R85" s="2" t="s">
        <v>49</v>
      </c>
      <c r="S85" s="2" t="s">
        <v>47</v>
      </c>
      <c r="T85" s="2" t="s">
        <v>42</v>
      </c>
      <c r="U85" s="2" t="s">
        <v>44</v>
      </c>
      <c r="V85" s="2" t="s">
        <v>49</v>
      </c>
      <c r="W85" s="2" t="s">
        <v>42</v>
      </c>
      <c r="X85" s="2" t="s">
        <v>59</v>
      </c>
      <c r="Y85" s="2" t="s">
        <v>42</v>
      </c>
      <c r="Z85" s="2" t="s">
        <v>48</v>
      </c>
      <c r="AA85" s="2" t="s">
        <v>67</v>
      </c>
      <c r="AB85" s="2" t="s">
        <v>42</v>
      </c>
      <c r="AC85" s="1" t="s">
        <v>203</v>
      </c>
      <c r="AD85" s="2" t="s">
        <v>42</v>
      </c>
      <c r="AE85" s="2" t="s">
        <v>49</v>
      </c>
      <c r="AF85" s="2" t="s">
        <v>204</v>
      </c>
      <c r="AG85" s="2" t="s">
        <v>42</v>
      </c>
      <c r="AH85" s="7" t="n">
        <f aca="false">(O85='Labeling Rules'!$C$6)*'Labeling Rules'!$D$6+(Q85='Labeling Rules'!$C$7)*'Labeling Rules'!$D$7+(R85='Labeling Rules'!$C$8)*'Labeling Rules'!$D$8+(R85='Labeling Rules'!$C$9)*'Labeling Rules'!$D$9+(P85='Labeling Rules'!$C$10)*'Labeling Rules'!$D$10+(M85='Labeling Rules'!$C$11)*'Labeling Rules'!$D$11+(T85='Labeling Rules'!$C$12)*'Labeling Rules'!$D$12+(U85='Labeling Rules'!$C$13)*'Labeling Rules'!$D$13+(W85='Labeling Rules'!$C$14)*'Labeling Rules'!$D$14+(Y85='Labeling Rules'!$C$15)*'Labeling Rules'!$D$15</f>
        <v>4</v>
      </c>
      <c r="AI85" s="7" t="n">
        <f aca="false">IF(AH85&gt;='Labeling Rules'!$D$17,1,0)</f>
        <v>0</v>
      </c>
    </row>
    <row r="86" customFormat="false" ht="14.25" hidden="false" customHeight="false" outlineLevel="0" collapsed="false">
      <c r="A86" s="0" t="n">
        <v>85</v>
      </c>
      <c r="B86" s="6" t="n">
        <v>46159.4797916667</v>
      </c>
      <c r="C86" s="6" t="n">
        <v>46159.482337963</v>
      </c>
      <c r="D86" s="1" t="s">
        <v>35</v>
      </c>
      <c r="F86" s="2" t="s">
        <v>36</v>
      </c>
      <c r="G86" s="2" t="s">
        <v>137</v>
      </c>
      <c r="H86" s="2" t="s">
        <v>38</v>
      </c>
      <c r="I86" s="2" t="s">
        <v>155</v>
      </c>
      <c r="J86" s="2" t="s">
        <v>56</v>
      </c>
      <c r="K86" s="2" t="s">
        <v>41</v>
      </c>
      <c r="L86" s="2" t="s">
        <v>42</v>
      </c>
      <c r="M86" s="2" t="s">
        <v>43</v>
      </c>
      <c r="N86" s="2" t="s">
        <v>49</v>
      </c>
      <c r="O86" s="2" t="s">
        <v>57</v>
      </c>
      <c r="P86" s="2" t="s">
        <v>42</v>
      </c>
      <c r="Q86" s="2" t="s">
        <v>58</v>
      </c>
      <c r="R86" s="2" t="s">
        <v>49</v>
      </c>
      <c r="S86" s="2" t="s">
        <v>47</v>
      </c>
      <c r="T86" s="2" t="s">
        <v>48</v>
      </c>
      <c r="U86" s="2" t="s">
        <v>49</v>
      </c>
      <c r="V86" s="2" t="s">
        <v>49</v>
      </c>
      <c r="W86" s="2" t="s">
        <v>48</v>
      </c>
      <c r="X86" s="2" t="s">
        <v>59</v>
      </c>
      <c r="Y86" s="2" t="s">
        <v>42</v>
      </c>
      <c r="Z86" s="2" t="s">
        <v>48</v>
      </c>
      <c r="AA86" s="2" t="s">
        <v>77</v>
      </c>
      <c r="AB86" s="2" t="s">
        <v>49</v>
      </c>
      <c r="AC86" s="1" t="s">
        <v>52</v>
      </c>
      <c r="AD86" s="2" t="s">
        <v>76</v>
      </c>
      <c r="AE86" s="2" t="s">
        <v>44</v>
      </c>
      <c r="AF86" s="1" t="s">
        <v>62</v>
      </c>
      <c r="AG86" s="1" t="s">
        <v>62</v>
      </c>
      <c r="AH86" s="7" t="n">
        <f aca="false">(O86='Labeling Rules'!$C$6)*'Labeling Rules'!$D$6+(Q86='Labeling Rules'!$C$7)*'Labeling Rules'!$D$7+(R86='Labeling Rules'!$C$8)*'Labeling Rules'!$D$8+(R86='Labeling Rules'!$C$9)*'Labeling Rules'!$D$9+(P86='Labeling Rules'!$C$10)*'Labeling Rules'!$D$10+(M86='Labeling Rules'!$C$11)*'Labeling Rules'!$D$11+(T86='Labeling Rules'!$C$12)*'Labeling Rules'!$D$12+(U86='Labeling Rules'!$C$13)*'Labeling Rules'!$D$13+(W86='Labeling Rules'!$C$14)*'Labeling Rules'!$D$14+(Y86='Labeling Rules'!$C$15)*'Labeling Rules'!$D$15</f>
        <v>2</v>
      </c>
      <c r="AI86" s="7" t="n">
        <f aca="false">IF(AH86&gt;='Labeling Rules'!$D$17,1,0)</f>
        <v>0</v>
      </c>
    </row>
    <row r="87" customFormat="false" ht="14.25" hidden="false" customHeight="false" outlineLevel="0" collapsed="false">
      <c r="A87" s="0" t="n">
        <v>86</v>
      </c>
      <c r="B87" s="6" t="n">
        <v>46159.4873958333</v>
      </c>
      <c r="C87" s="6" t="n">
        <v>46159.4932523148</v>
      </c>
      <c r="D87" s="1" t="s">
        <v>35</v>
      </c>
      <c r="F87" s="2" t="s">
        <v>36</v>
      </c>
      <c r="G87" s="2" t="s">
        <v>69</v>
      </c>
      <c r="H87" s="2" t="s">
        <v>181</v>
      </c>
      <c r="I87" s="2" t="s">
        <v>55</v>
      </c>
      <c r="J87" s="2" t="s">
        <v>56</v>
      </c>
      <c r="K87" s="2" t="s">
        <v>41</v>
      </c>
      <c r="L87" s="2" t="s">
        <v>48</v>
      </c>
      <c r="M87" s="2" t="s">
        <v>49</v>
      </c>
      <c r="N87" s="2" t="s">
        <v>74</v>
      </c>
      <c r="O87" s="2" t="s">
        <v>57</v>
      </c>
      <c r="P87" s="2" t="s">
        <v>48</v>
      </c>
      <c r="Q87" s="2" t="s">
        <v>46</v>
      </c>
      <c r="R87" s="2" t="s">
        <v>48</v>
      </c>
      <c r="S87" s="2" t="s">
        <v>47</v>
      </c>
      <c r="T87" s="2" t="s">
        <v>48</v>
      </c>
      <c r="U87" s="2" t="s">
        <v>44</v>
      </c>
      <c r="V87" s="2" t="s">
        <v>82</v>
      </c>
      <c r="W87" s="2" t="s">
        <v>48</v>
      </c>
      <c r="X87" s="2" t="s">
        <v>76</v>
      </c>
      <c r="Y87" s="2" t="s">
        <v>48</v>
      </c>
      <c r="Z87" s="2" t="s">
        <v>50</v>
      </c>
      <c r="AA87" s="2" t="s">
        <v>67</v>
      </c>
      <c r="AB87" s="2" t="s">
        <v>42</v>
      </c>
      <c r="AC87" s="1" t="s">
        <v>68</v>
      </c>
      <c r="AD87" s="2" t="s">
        <v>48</v>
      </c>
      <c r="AE87" s="2" t="s">
        <v>75</v>
      </c>
      <c r="AF87" s="1" t="s">
        <v>205</v>
      </c>
      <c r="AG87" s="1" t="s">
        <v>206</v>
      </c>
      <c r="AH87" s="7" t="n">
        <f aca="false">(O87='Labeling Rules'!$C$6)*'Labeling Rules'!$D$6+(Q87='Labeling Rules'!$C$7)*'Labeling Rules'!$D$7+(R87='Labeling Rules'!$C$8)*'Labeling Rules'!$D$8+(R87='Labeling Rules'!$C$9)*'Labeling Rules'!$D$9+(P87='Labeling Rules'!$C$10)*'Labeling Rules'!$D$10+(M87='Labeling Rules'!$C$11)*'Labeling Rules'!$D$11+(T87='Labeling Rules'!$C$12)*'Labeling Rules'!$D$12+(U87='Labeling Rules'!$C$13)*'Labeling Rules'!$D$13+(W87='Labeling Rules'!$C$14)*'Labeling Rules'!$D$14+(Y87='Labeling Rules'!$C$15)*'Labeling Rules'!$D$15</f>
        <v>1</v>
      </c>
      <c r="AI87" s="7" t="n">
        <f aca="false">IF(AH87&gt;='Labeling Rules'!$D$17,1,0)</f>
        <v>0</v>
      </c>
    </row>
    <row r="88" customFormat="false" ht="14.25" hidden="false" customHeight="false" outlineLevel="0" collapsed="false">
      <c r="A88" s="0" t="n">
        <v>87</v>
      </c>
      <c r="B88" s="6" t="n">
        <v>46159.560474537</v>
      </c>
      <c r="C88" s="6" t="n">
        <v>46159.5627083333</v>
      </c>
      <c r="D88" s="1" t="s">
        <v>35</v>
      </c>
      <c r="F88" s="2" t="s">
        <v>63</v>
      </c>
      <c r="G88" s="2" t="s">
        <v>37</v>
      </c>
      <c r="H88" s="2" t="s">
        <v>38</v>
      </c>
      <c r="I88" s="2" t="s">
        <v>80</v>
      </c>
      <c r="J88" s="2" t="s">
        <v>56</v>
      </c>
      <c r="K88" s="2" t="s">
        <v>41</v>
      </c>
      <c r="L88" s="2" t="s">
        <v>48</v>
      </c>
      <c r="M88" s="2" t="s">
        <v>74</v>
      </c>
      <c r="N88" s="2" t="s">
        <v>74</v>
      </c>
      <c r="O88" s="2" t="s">
        <v>57</v>
      </c>
      <c r="P88" s="2" t="s">
        <v>42</v>
      </c>
      <c r="Q88" s="2" t="s">
        <v>46</v>
      </c>
      <c r="R88" s="2" t="s">
        <v>48</v>
      </c>
      <c r="S88" s="2" t="s">
        <v>42</v>
      </c>
      <c r="T88" s="2" t="s">
        <v>48</v>
      </c>
      <c r="U88" s="2" t="s">
        <v>44</v>
      </c>
      <c r="V88" s="2" t="s">
        <v>74</v>
      </c>
      <c r="W88" s="2" t="s">
        <v>48</v>
      </c>
      <c r="X88" s="2" t="s">
        <v>48</v>
      </c>
      <c r="Y88" s="2" t="s">
        <v>48</v>
      </c>
      <c r="Z88" s="2" t="s">
        <v>50</v>
      </c>
      <c r="AA88" s="2" t="s">
        <v>67</v>
      </c>
      <c r="AB88" s="2" t="s">
        <v>49</v>
      </c>
      <c r="AC88" s="1" t="s">
        <v>78</v>
      </c>
      <c r="AD88" s="2" t="s">
        <v>48</v>
      </c>
      <c r="AE88" s="2" t="s">
        <v>75</v>
      </c>
      <c r="AF88" s="2" t="s">
        <v>207</v>
      </c>
      <c r="AG88" s="2" t="s">
        <v>208</v>
      </c>
      <c r="AH88" s="7" t="n">
        <f aca="false">(O88='Labeling Rules'!$C$6)*'Labeling Rules'!$D$6+(Q88='Labeling Rules'!$C$7)*'Labeling Rules'!$D$7+(R88='Labeling Rules'!$C$8)*'Labeling Rules'!$D$8+(R88='Labeling Rules'!$C$9)*'Labeling Rules'!$D$9+(P88='Labeling Rules'!$C$10)*'Labeling Rules'!$D$10+(M88='Labeling Rules'!$C$11)*'Labeling Rules'!$D$11+(T88='Labeling Rules'!$C$12)*'Labeling Rules'!$D$12+(U88='Labeling Rules'!$C$13)*'Labeling Rules'!$D$13+(W88='Labeling Rules'!$C$14)*'Labeling Rules'!$D$14+(Y88='Labeling Rules'!$C$15)*'Labeling Rules'!$D$15</f>
        <v>0</v>
      </c>
      <c r="AI88" s="7" t="n">
        <f aca="false">IF(AH88&gt;='Labeling Rules'!$D$17,1,0)</f>
        <v>0</v>
      </c>
    </row>
    <row r="89" customFormat="false" ht="14.25" hidden="false" customHeight="false" outlineLevel="0" collapsed="false">
      <c r="A89" s="0" t="n">
        <v>88</v>
      </c>
      <c r="B89" s="6" t="n">
        <v>46159.550150463</v>
      </c>
      <c r="C89" s="6" t="n">
        <v>46159.5654050926</v>
      </c>
      <c r="D89" s="1" t="s">
        <v>35</v>
      </c>
      <c r="F89" s="2" t="s">
        <v>36</v>
      </c>
      <c r="G89" s="2" t="s">
        <v>37</v>
      </c>
      <c r="H89" s="2" t="s">
        <v>38</v>
      </c>
      <c r="I89" s="2" t="s">
        <v>39</v>
      </c>
      <c r="J89" s="2" t="s">
        <v>56</v>
      </c>
      <c r="K89" s="2" t="s">
        <v>41</v>
      </c>
      <c r="L89" s="2" t="s">
        <v>42</v>
      </c>
      <c r="M89" s="2" t="s">
        <v>49</v>
      </c>
      <c r="N89" s="2" t="s">
        <v>49</v>
      </c>
      <c r="O89" s="2" t="s">
        <v>57</v>
      </c>
      <c r="P89" s="2" t="s">
        <v>76</v>
      </c>
      <c r="Q89" s="2" t="s">
        <v>46</v>
      </c>
      <c r="R89" s="2" t="s">
        <v>49</v>
      </c>
      <c r="S89" s="2" t="s">
        <v>47</v>
      </c>
      <c r="T89" s="2" t="s">
        <v>48</v>
      </c>
      <c r="U89" s="2" t="s">
        <v>49</v>
      </c>
      <c r="V89" s="2" t="s">
        <v>49</v>
      </c>
      <c r="W89" s="2" t="s">
        <v>48</v>
      </c>
      <c r="X89" s="2" t="s">
        <v>76</v>
      </c>
      <c r="Y89" s="2" t="s">
        <v>42</v>
      </c>
      <c r="Z89" s="2" t="s">
        <v>83</v>
      </c>
      <c r="AA89" s="2" t="s">
        <v>67</v>
      </c>
      <c r="AB89" s="2" t="s">
        <v>49</v>
      </c>
      <c r="AC89" s="1" t="s">
        <v>78</v>
      </c>
      <c r="AD89" s="2" t="s">
        <v>76</v>
      </c>
      <c r="AE89" s="2" t="s">
        <v>74</v>
      </c>
      <c r="AF89" s="2" t="s">
        <v>209</v>
      </c>
      <c r="AG89" s="2" t="s">
        <v>54</v>
      </c>
      <c r="AH89" s="7" t="n">
        <f aca="false">(O89='Labeling Rules'!$C$6)*'Labeling Rules'!$D$6+(Q89='Labeling Rules'!$C$7)*'Labeling Rules'!$D$7+(R89='Labeling Rules'!$C$8)*'Labeling Rules'!$D$8+(R89='Labeling Rules'!$C$9)*'Labeling Rules'!$D$9+(P89='Labeling Rules'!$C$10)*'Labeling Rules'!$D$10+(M89='Labeling Rules'!$C$11)*'Labeling Rules'!$D$11+(T89='Labeling Rules'!$C$12)*'Labeling Rules'!$D$12+(U89='Labeling Rules'!$C$13)*'Labeling Rules'!$D$13+(W89='Labeling Rules'!$C$14)*'Labeling Rules'!$D$14+(Y89='Labeling Rules'!$C$15)*'Labeling Rules'!$D$15</f>
        <v>2</v>
      </c>
      <c r="AI89" s="7" t="n">
        <f aca="false">IF(AH89&gt;='Labeling Rules'!$D$17,1,0)</f>
        <v>0</v>
      </c>
    </row>
    <row r="90" customFormat="false" ht="14.25" hidden="false" customHeight="false" outlineLevel="0" collapsed="false">
      <c r="A90" s="0" t="n">
        <v>89</v>
      </c>
      <c r="B90" s="6" t="n">
        <v>46159.5701736111</v>
      </c>
      <c r="C90" s="6" t="n">
        <v>46159.5718981482</v>
      </c>
      <c r="D90" s="1" t="s">
        <v>35</v>
      </c>
      <c r="F90" s="2" t="s">
        <v>36</v>
      </c>
      <c r="G90" s="2" t="s">
        <v>37</v>
      </c>
      <c r="H90" s="2" t="s">
        <v>38</v>
      </c>
      <c r="I90" s="2" t="s">
        <v>55</v>
      </c>
      <c r="J90" s="2" t="s">
        <v>65</v>
      </c>
      <c r="K90" s="2" t="s">
        <v>41</v>
      </c>
      <c r="L90" s="2" t="s">
        <v>42</v>
      </c>
      <c r="M90" s="2" t="s">
        <v>44</v>
      </c>
      <c r="N90" s="2" t="s">
        <v>44</v>
      </c>
      <c r="O90" s="2" t="s">
        <v>45</v>
      </c>
      <c r="P90" s="2" t="s">
        <v>76</v>
      </c>
      <c r="Q90" s="2" t="s">
        <v>81</v>
      </c>
      <c r="R90" s="2" t="s">
        <v>42</v>
      </c>
      <c r="S90" s="2" t="s">
        <v>47</v>
      </c>
      <c r="T90" s="2" t="s">
        <v>42</v>
      </c>
      <c r="U90" s="2" t="s">
        <v>49</v>
      </c>
      <c r="V90" s="2" t="s">
        <v>82</v>
      </c>
      <c r="W90" s="2" t="s">
        <v>48</v>
      </c>
      <c r="X90" s="2" t="s">
        <v>59</v>
      </c>
      <c r="Y90" s="2" t="s">
        <v>42</v>
      </c>
      <c r="Z90" s="2" t="s">
        <v>42</v>
      </c>
      <c r="AA90" s="2" t="s">
        <v>77</v>
      </c>
      <c r="AB90" s="2" t="s">
        <v>49</v>
      </c>
      <c r="AC90" s="1" t="s">
        <v>52</v>
      </c>
      <c r="AD90" s="2" t="s">
        <v>76</v>
      </c>
      <c r="AE90" s="2" t="s">
        <v>74</v>
      </c>
      <c r="AF90" s="1" t="s">
        <v>62</v>
      </c>
      <c r="AG90" s="1" t="s">
        <v>62</v>
      </c>
      <c r="AH90" s="7" t="n">
        <f aca="false">(O90='Labeling Rules'!$C$6)*'Labeling Rules'!$D$6+(Q90='Labeling Rules'!$C$7)*'Labeling Rules'!$D$7+(R90='Labeling Rules'!$C$8)*'Labeling Rules'!$D$8+(R90='Labeling Rules'!$C$9)*'Labeling Rules'!$D$9+(P90='Labeling Rules'!$C$10)*'Labeling Rules'!$D$10+(M90='Labeling Rules'!$C$11)*'Labeling Rules'!$D$11+(T90='Labeling Rules'!$C$12)*'Labeling Rules'!$D$12+(U90='Labeling Rules'!$C$13)*'Labeling Rules'!$D$13+(W90='Labeling Rules'!$C$14)*'Labeling Rules'!$D$14+(Y90='Labeling Rules'!$C$15)*'Labeling Rules'!$D$15</f>
        <v>9</v>
      </c>
      <c r="AI90" s="7" t="n">
        <f aca="false">IF(AH90&gt;='Labeling Rules'!$D$17,1,0)</f>
        <v>1</v>
      </c>
    </row>
    <row r="91" customFormat="false" ht="14.25" hidden="false" customHeight="false" outlineLevel="0" collapsed="false">
      <c r="A91" s="0" t="n">
        <v>90</v>
      </c>
      <c r="B91" s="6" t="n">
        <v>46159.6015856482</v>
      </c>
      <c r="C91" s="6" t="n">
        <v>46159.6038657407</v>
      </c>
      <c r="D91" s="1" t="s">
        <v>35</v>
      </c>
      <c r="F91" s="2" t="s">
        <v>36</v>
      </c>
      <c r="G91" s="2" t="s">
        <v>37</v>
      </c>
      <c r="H91" s="2" t="s">
        <v>38</v>
      </c>
      <c r="I91" s="2" t="s">
        <v>55</v>
      </c>
      <c r="J91" s="2" t="s">
        <v>56</v>
      </c>
      <c r="K91" s="2" t="s">
        <v>41</v>
      </c>
      <c r="L91" s="2" t="s">
        <v>42</v>
      </c>
      <c r="M91" s="2" t="s">
        <v>49</v>
      </c>
      <c r="N91" s="2" t="s">
        <v>43</v>
      </c>
      <c r="O91" s="2" t="s">
        <v>57</v>
      </c>
      <c r="P91" s="2" t="s">
        <v>76</v>
      </c>
      <c r="Q91" s="2" t="s">
        <v>58</v>
      </c>
      <c r="R91" s="2" t="s">
        <v>49</v>
      </c>
      <c r="S91" s="2" t="s">
        <v>48</v>
      </c>
      <c r="T91" s="2" t="s">
        <v>42</v>
      </c>
      <c r="U91" s="2" t="s">
        <v>44</v>
      </c>
      <c r="V91" s="2" t="s">
        <v>49</v>
      </c>
      <c r="W91" s="2" t="s">
        <v>48</v>
      </c>
      <c r="X91" s="2" t="s">
        <v>59</v>
      </c>
      <c r="Y91" s="2" t="s">
        <v>42</v>
      </c>
      <c r="Z91" s="2" t="s">
        <v>83</v>
      </c>
      <c r="AA91" s="2" t="s">
        <v>51</v>
      </c>
      <c r="AB91" s="2" t="s">
        <v>42</v>
      </c>
      <c r="AC91" s="1" t="s">
        <v>87</v>
      </c>
      <c r="AD91" s="2" t="s">
        <v>42</v>
      </c>
      <c r="AE91" s="2" t="s">
        <v>49</v>
      </c>
      <c r="AF91" s="2" t="s">
        <v>210</v>
      </c>
      <c r="AG91" s="2" t="s">
        <v>48</v>
      </c>
      <c r="AH91" s="7" t="n">
        <f aca="false">(O91='Labeling Rules'!$C$6)*'Labeling Rules'!$D$6+(Q91='Labeling Rules'!$C$7)*'Labeling Rules'!$D$7+(R91='Labeling Rules'!$C$8)*'Labeling Rules'!$D$8+(R91='Labeling Rules'!$C$9)*'Labeling Rules'!$D$9+(P91='Labeling Rules'!$C$10)*'Labeling Rules'!$D$10+(M91='Labeling Rules'!$C$11)*'Labeling Rules'!$D$11+(T91='Labeling Rules'!$C$12)*'Labeling Rules'!$D$12+(U91='Labeling Rules'!$C$13)*'Labeling Rules'!$D$13+(W91='Labeling Rules'!$C$14)*'Labeling Rules'!$D$14+(Y91='Labeling Rules'!$C$15)*'Labeling Rules'!$D$15</f>
        <v>3</v>
      </c>
      <c r="AI91" s="7" t="n">
        <f aca="false">IF(AH91&gt;='Labeling Rules'!$D$17,1,0)</f>
        <v>0</v>
      </c>
    </row>
    <row r="92" customFormat="false" ht="14.25" hidden="false" customHeight="false" outlineLevel="0" collapsed="false">
      <c r="A92" s="0" t="n">
        <v>91</v>
      </c>
      <c r="B92" s="6" t="n">
        <v>46159.6245138889</v>
      </c>
      <c r="C92" s="6" t="n">
        <v>46159.6266435185</v>
      </c>
      <c r="D92" s="1" t="s">
        <v>35</v>
      </c>
      <c r="F92" s="2" t="s">
        <v>36</v>
      </c>
      <c r="G92" s="2" t="s">
        <v>37</v>
      </c>
      <c r="H92" s="2" t="s">
        <v>38</v>
      </c>
      <c r="I92" s="2" t="s">
        <v>64</v>
      </c>
      <c r="J92" s="2" t="s">
        <v>56</v>
      </c>
      <c r="K92" s="2" t="s">
        <v>41</v>
      </c>
      <c r="L92" s="2" t="s">
        <v>42</v>
      </c>
      <c r="M92" s="2" t="s">
        <v>49</v>
      </c>
      <c r="N92" s="2" t="s">
        <v>49</v>
      </c>
      <c r="O92" s="2" t="s">
        <v>45</v>
      </c>
      <c r="P92" s="2" t="s">
        <v>42</v>
      </c>
      <c r="Q92" s="2" t="s">
        <v>58</v>
      </c>
      <c r="R92" s="2" t="s">
        <v>49</v>
      </c>
      <c r="S92" s="2" t="s">
        <v>47</v>
      </c>
      <c r="T92" s="2" t="s">
        <v>48</v>
      </c>
      <c r="U92" s="2" t="s">
        <v>44</v>
      </c>
      <c r="V92" s="2" t="s">
        <v>82</v>
      </c>
      <c r="W92" s="2" t="s">
        <v>48</v>
      </c>
      <c r="X92" s="2" t="s">
        <v>76</v>
      </c>
      <c r="Y92" s="2" t="s">
        <v>48</v>
      </c>
      <c r="Z92" s="2" t="s">
        <v>50</v>
      </c>
      <c r="AA92" s="2" t="s">
        <v>77</v>
      </c>
      <c r="AB92" s="2" t="s">
        <v>42</v>
      </c>
      <c r="AC92" s="1" t="s">
        <v>52</v>
      </c>
      <c r="AD92" s="2" t="s">
        <v>76</v>
      </c>
      <c r="AE92" s="2" t="s">
        <v>49</v>
      </c>
      <c r="AF92" s="2" t="s">
        <v>211</v>
      </c>
      <c r="AG92" s="2" t="s">
        <v>212</v>
      </c>
      <c r="AH92" s="7" t="n">
        <f aca="false">(O92='Labeling Rules'!$C$6)*'Labeling Rules'!$D$6+(Q92='Labeling Rules'!$C$7)*'Labeling Rules'!$D$7+(R92='Labeling Rules'!$C$8)*'Labeling Rules'!$D$8+(R92='Labeling Rules'!$C$9)*'Labeling Rules'!$D$9+(P92='Labeling Rules'!$C$10)*'Labeling Rules'!$D$10+(M92='Labeling Rules'!$C$11)*'Labeling Rules'!$D$11+(T92='Labeling Rules'!$C$12)*'Labeling Rules'!$D$12+(U92='Labeling Rules'!$C$13)*'Labeling Rules'!$D$13+(W92='Labeling Rules'!$C$14)*'Labeling Rules'!$D$14+(Y92='Labeling Rules'!$C$15)*'Labeling Rules'!$D$15</f>
        <v>3</v>
      </c>
      <c r="AI92" s="7" t="n">
        <f aca="false">IF(AH92&gt;='Labeling Rules'!$D$17,1,0)</f>
        <v>0</v>
      </c>
    </row>
    <row r="93" customFormat="false" ht="14.25" hidden="false" customHeight="false" outlineLevel="0" collapsed="false">
      <c r="A93" s="0" t="n">
        <v>92</v>
      </c>
      <c r="B93" s="6" t="n">
        <v>46159.6382986111</v>
      </c>
      <c r="C93" s="6" t="n">
        <v>46159.6400115741</v>
      </c>
      <c r="D93" s="1" t="s">
        <v>35</v>
      </c>
      <c r="F93" s="2" t="s">
        <v>36</v>
      </c>
      <c r="G93" s="2" t="s">
        <v>69</v>
      </c>
      <c r="H93" s="2" t="s">
        <v>38</v>
      </c>
      <c r="I93" s="2" t="s">
        <v>39</v>
      </c>
      <c r="J93" s="2" t="s">
        <v>65</v>
      </c>
      <c r="K93" s="2" t="s">
        <v>41</v>
      </c>
      <c r="L93" s="2" t="s">
        <v>42</v>
      </c>
      <c r="M93" s="2" t="s">
        <v>43</v>
      </c>
      <c r="N93" s="2" t="s">
        <v>44</v>
      </c>
      <c r="O93" s="2" t="s">
        <v>45</v>
      </c>
      <c r="P93" s="2" t="s">
        <v>76</v>
      </c>
      <c r="Q93" s="2" t="s">
        <v>81</v>
      </c>
      <c r="R93" s="2" t="s">
        <v>48</v>
      </c>
      <c r="S93" s="2" t="s">
        <v>48</v>
      </c>
      <c r="T93" s="2" t="s">
        <v>48</v>
      </c>
      <c r="U93" s="2" t="s">
        <v>48</v>
      </c>
      <c r="V93" s="2" t="s">
        <v>49</v>
      </c>
      <c r="W93" s="2" t="s">
        <v>48</v>
      </c>
      <c r="X93" s="2" t="s">
        <v>76</v>
      </c>
      <c r="Y93" s="2" t="s">
        <v>48</v>
      </c>
      <c r="Z93" s="2" t="s">
        <v>83</v>
      </c>
      <c r="AA93" s="2" t="s">
        <v>67</v>
      </c>
      <c r="AB93" s="2" t="s">
        <v>42</v>
      </c>
      <c r="AC93" s="1" t="s">
        <v>68</v>
      </c>
      <c r="AD93" s="2" t="s">
        <v>42</v>
      </c>
      <c r="AE93" s="2" t="s">
        <v>44</v>
      </c>
      <c r="AF93" s="2" t="s">
        <v>213</v>
      </c>
      <c r="AG93" s="2" t="s">
        <v>54</v>
      </c>
      <c r="AH93" s="7" t="n">
        <f aca="false">(O93='Labeling Rules'!$C$6)*'Labeling Rules'!$D$6+(Q93='Labeling Rules'!$C$7)*'Labeling Rules'!$D$7+(R93='Labeling Rules'!$C$8)*'Labeling Rules'!$D$8+(R93='Labeling Rules'!$C$9)*'Labeling Rules'!$D$9+(P93='Labeling Rules'!$C$10)*'Labeling Rules'!$D$10+(M93='Labeling Rules'!$C$11)*'Labeling Rules'!$D$11+(T93='Labeling Rules'!$C$12)*'Labeling Rules'!$D$12+(U93='Labeling Rules'!$C$13)*'Labeling Rules'!$D$13+(W93='Labeling Rules'!$C$14)*'Labeling Rules'!$D$14+(Y93='Labeling Rules'!$C$15)*'Labeling Rules'!$D$15</f>
        <v>5</v>
      </c>
      <c r="AI93" s="7" t="n">
        <f aca="false">IF(AH93&gt;='Labeling Rules'!$D$17,1,0)</f>
        <v>1</v>
      </c>
    </row>
    <row r="94" customFormat="false" ht="14.25" hidden="false" customHeight="false" outlineLevel="0" collapsed="false">
      <c r="A94" s="0" t="n">
        <v>93</v>
      </c>
      <c r="B94" s="6" t="n">
        <v>46159.6533449074</v>
      </c>
      <c r="C94" s="6" t="n">
        <v>46159.6561226852</v>
      </c>
      <c r="D94" s="1" t="s">
        <v>35</v>
      </c>
      <c r="F94" s="2" t="s">
        <v>36</v>
      </c>
      <c r="G94" s="2" t="s">
        <v>163</v>
      </c>
      <c r="H94" s="2" t="s">
        <v>38</v>
      </c>
      <c r="I94" s="2" t="s">
        <v>55</v>
      </c>
      <c r="J94" s="2" t="s">
        <v>56</v>
      </c>
      <c r="K94" s="2" t="s">
        <v>97</v>
      </c>
      <c r="L94" s="2" t="s">
        <v>42</v>
      </c>
      <c r="M94" s="2" t="s">
        <v>43</v>
      </c>
      <c r="N94" s="2" t="s">
        <v>49</v>
      </c>
      <c r="O94" s="2" t="s">
        <v>45</v>
      </c>
      <c r="P94" s="2" t="s">
        <v>76</v>
      </c>
      <c r="Q94" s="2" t="s">
        <v>81</v>
      </c>
      <c r="R94" s="2" t="s">
        <v>49</v>
      </c>
      <c r="S94" s="2" t="s">
        <v>48</v>
      </c>
      <c r="T94" s="2" t="s">
        <v>42</v>
      </c>
      <c r="U94" s="2" t="s">
        <v>44</v>
      </c>
      <c r="V94" s="2" t="s">
        <v>49</v>
      </c>
      <c r="W94" s="2" t="s">
        <v>48</v>
      </c>
      <c r="X94" s="2" t="s">
        <v>76</v>
      </c>
      <c r="Y94" s="2" t="s">
        <v>48</v>
      </c>
      <c r="Z94" s="2" t="s">
        <v>50</v>
      </c>
      <c r="AA94" s="2" t="s">
        <v>67</v>
      </c>
      <c r="AB94" s="2" t="s">
        <v>42</v>
      </c>
      <c r="AC94" s="1" t="s">
        <v>68</v>
      </c>
      <c r="AD94" s="2" t="s">
        <v>76</v>
      </c>
      <c r="AE94" s="2" t="s">
        <v>49</v>
      </c>
      <c r="AF94" s="2" t="s">
        <v>214</v>
      </c>
      <c r="AG94" s="2" t="s">
        <v>42</v>
      </c>
      <c r="AH94" s="7" t="n">
        <f aca="false">(O94='Labeling Rules'!$C$6)*'Labeling Rules'!$D$6+(Q94='Labeling Rules'!$C$7)*'Labeling Rules'!$D$7+(R94='Labeling Rules'!$C$8)*'Labeling Rules'!$D$8+(R94='Labeling Rules'!$C$9)*'Labeling Rules'!$D$9+(P94='Labeling Rules'!$C$10)*'Labeling Rules'!$D$10+(M94='Labeling Rules'!$C$11)*'Labeling Rules'!$D$11+(T94='Labeling Rules'!$C$12)*'Labeling Rules'!$D$12+(U94='Labeling Rules'!$C$13)*'Labeling Rules'!$D$13+(W94='Labeling Rules'!$C$14)*'Labeling Rules'!$D$14+(Y94='Labeling Rules'!$C$15)*'Labeling Rules'!$D$15</f>
        <v>6</v>
      </c>
      <c r="AI94" s="7" t="n">
        <f aca="false">IF(AH94&gt;='Labeling Rules'!$D$17,1,0)</f>
        <v>1</v>
      </c>
    </row>
    <row r="95" customFormat="false" ht="14.25" hidden="false" customHeight="false" outlineLevel="0" collapsed="false">
      <c r="A95" s="0" t="n">
        <v>94</v>
      </c>
      <c r="B95" s="6" t="n">
        <v>46159.6879282407</v>
      </c>
      <c r="C95" s="6" t="n">
        <v>46159.6905208333</v>
      </c>
      <c r="D95" s="1" t="s">
        <v>35</v>
      </c>
      <c r="F95" s="2" t="s">
        <v>36</v>
      </c>
      <c r="G95" s="2" t="s">
        <v>69</v>
      </c>
      <c r="H95" s="2" t="s">
        <v>38</v>
      </c>
      <c r="I95" s="2" t="s">
        <v>64</v>
      </c>
      <c r="J95" s="2" t="s">
        <v>56</v>
      </c>
      <c r="K95" s="2" t="s">
        <v>41</v>
      </c>
      <c r="L95" s="2" t="s">
        <v>42</v>
      </c>
      <c r="M95" s="2" t="s">
        <v>49</v>
      </c>
      <c r="N95" s="2" t="s">
        <v>74</v>
      </c>
      <c r="O95" s="2" t="s">
        <v>57</v>
      </c>
      <c r="P95" s="2" t="s">
        <v>76</v>
      </c>
      <c r="Q95" s="2" t="s">
        <v>46</v>
      </c>
      <c r="R95" s="2" t="s">
        <v>48</v>
      </c>
      <c r="S95" s="2" t="s">
        <v>47</v>
      </c>
      <c r="T95" s="2" t="s">
        <v>48</v>
      </c>
      <c r="U95" s="2" t="s">
        <v>44</v>
      </c>
      <c r="V95" s="2" t="s">
        <v>49</v>
      </c>
      <c r="W95" s="2" t="s">
        <v>48</v>
      </c>
      <c r="X95" s="2" t="s">
        <v>76</v>
      </c>
      <c r="Y95" s="2" t="s">
        <v>48</v>
      </c>
      <c r="Z95" s="2" t="s">
        <v>50</v>
      </c>
      <c r="AA95" s="2" t="s">
        <v>77</v>
      </c>
      <c r="AB95" s="2" t="s">
        <v>49</v>
      </c>
      <c r="AC95" s="1" t="s">
        <v>68</v>
      </c>
      <c r="AD95" s="2" t="s">
        <v>76</v>
      </c>
      <c r="AE95" s="2" t="s">
        <v>49</v>
      </c>
      <c r="AF95" s="1" t="s">
        <v>166</v>
      </c>
      <c r="AG95" s="2" t="s">
        <v>54</v>
      </c>
      <c r="AH95" s="7" t="n">
        <f aca="false">(O95='Labeling Rules'!$C$6)*'Labeling Rules'!$D$6+(Q95='Labeling Rules'!$C$7)*'Labeling Rules'!$D$7+(R95='Labeling Rules'!$C$8)*'Labeling Rules'!$D$8+(R95='Labeling Rules'!$C$9)*'Labeling Rules'!$D$9+(P95='Labeling Rules'!$C$10)*'Labeling Rules'!$D$10+(M95='Labeling Rules'!$C$11)*'Labeling Rules'!$D$11+(T95='Labeling Rules'!$C$12)*'Labeling Rules'!$D$12+(U95='Labeling Rules'!$C$13)*'Labeling Rules'!$D$13+(W95='Labeling Rules'!$C$14)*'Labeling Rules'!$D$14+(Y95='Labeling Rules'!$C$15)*'Labeling Rules'!$D$15</f>
        <v>0</v>
      </c>
      <c r="AI95" s="7" t="n">
        <f aca="false">IF(AH95&gt;='Labeling Rules'!$D$17,1,0)</f>
        <v>0</v>
      </c>
    </row>
    <row r="96" customFormat="false" ht="14.25" hidden="false" customHeight="false" outlineLevel="0" collapsed="false">
      <c r="A96" s="0" t="n">
        <v>95</v>
      </c>
      <c r="B96" s="6" t="n">
        <v>46159.7182060185</v>
      </c>
      <c r="C96" s="6" t="n">
        <v>46159.7205324074</v>
      </c>
      <c r="D96" s="1" t="s">
        <v>35</v>
      </c>
      <c r="F96" s="2" t="s">
        <v>36</v>
      </c>
      <c r="G96" s="2" t="s">
        <v>37</v>
      </c>
      <c r="H96" s="2" t="s">
        <v>38</v>
      </c>
      <c r="I96" s="2" t="s">
        <v>55</v>
      </c>
      <c r="J96" s="2" t="s">
        <v>40</v>
      </c>
      <c r="K96" s="2" t="s">
        <v>41</v>
      </c>
      <c r="L96" s="2" t="s">
        <v>42</v>
      </c>
      <c r="M96" s="2" t="s">
        <v>49</v>
      </c>
      <c r="N96" s="2" t="s">
        <v>75</v>
      </c>
      <c r="O96" s="2" t="s">
        <v>57</v>
      </c>
      <c r="P96" s="2" t="s">
        <v>76</v>
      </c>
      <c r="Q96" s="2" t="s">
        <v>46</v>
      </c>
      <c r="R96" s="2" t="s">
        <v>49</v>
      </c>
      <c r="S96" s="2" t="s">
        <v>47</v>
      </c>
      <c r="T96" s="2" t="s">
        <v>48</v>
      </c>
      <c r="U96" s="2" t="s">
        <v>44</v>
      </c>
      <c r="V96" s="2" t="s">
        <v>82</v>
      </c>
      <c r="W96" s="2" t="s">
        <v>48</v>
      </c>
      <c r="X96" s="2" t="s">
        <v>59</v>
      </c>
      <c r="Y96" s="2" t="s">
        <v>48</v>
      </c>
      <c r="Z96" s="2" t="s">
        <v>50</v>
      </c>
      <c r="AA96" s="2" t="s">
        <v>77</v>
      </c>
      <c r="AB96" s="2" t="s">
        <v>48</v>
      </c>
      <c r="AC96" s="1" t="s">
        <v>215</v>
      </c>
      <c r="AD96" s="2" t="s">
        <v>76</v>
      </c>
      <c r="AE96" s="2" t="s">
        <v>74</v>
      </c>
      <c r="AF96" s="2" t="s">
        <v>216</v>
      </c>
      <c r="AG96" s="2" t="s">
        <v>217</v>
      </c>
      <c r="AH96" s="7" t="n">
        <f aca="false">(O96='Labeling Rules'!$C$6)*'Labeling Rules'!$D$6+(Q96='Labeling Rules'!$C$7)*'Labeling Rules'!$D$7+(R96='Labeling Rules'!$C$8)*'Labeling Rules'!$D$8+(R96='Labeling Rules'!$C$9)*'Labeling Rules'!$D$9+(P96='Labeling Rules'!$C$10)*'Labeling Rules'!$D$10+(M96='Labeling Rules'!$C$11)*'Labeling Rules'!$D$11+(T96='Labeling Rules'!$C$12)*'Labeling Rules'!$D$12+(U96='Labeling Rules'!$C$13)*'Labeling Rules'!$D$13+(W96='Labeling Rules'!$C$14)*'Labeling Rules'!$D$14+(Y96='Labeling Rules'!$C$15)*'Labeling Rules'!$D$15</f>
        <v>1</v>
      </c>
      <c r="AI96" s="7" t="n">
        <f aca="false">IF(AH96&gt;='Labeling Rules'!$D$17,1,0)</f>
        <v>0</v>
      </c>
    </row>
    <row r="97" customFormat="false" ht="14.25" hidden="false" customHeight="false" outlineLevel="0" collapsed="false">
      <c r="A97" s="0" t="n">
        <v>96</v>
      </c>
      <c r="B97" s="6" t="n">
        <v>46159.7193287037</v>
      </c>
      <c r="C97" s="6" t="n">
        <v>46159.7209837963</v>
      </c>
      <c r="D97" s="1" t="s">
        <v>35</v>
      </c>
      <c r="F97" s="2" t="s">
        <v>36</v>
      </c>
      <c r="G97" s="2" t="s">
        <v>37</v>
      </c>
      <c r="H97" s="2" t="s">
        <v>38</v>
      </c>
      <c r="I97" s="2" t="s">
        <v>55</v>
      </c>
      <c r="J97" s="2" t="s">
        <v>65</v>
      </c>
      <c r="K97" s="2" t="s">
        <v>41</v>
      </c>
      <c r="L97" s="2" t="s">
        <v>42</v>
      </c>
      <c r="M97" s="2" t="s">
        <v>44</v>
      </c>
      <c r="N97" s="2" t="s">
        <v>44</v>
      </c>
      <c r="O97" s="2" t="s">
        <v>45</v>
      </c>
      <c r="P97" s="2" t="s">
        <v>76</v>
      </c>
      <c r="Q97" s="2" t="s">
        <v>46</v>
      </c>
      <c r="R97" s="2" t="s">
        <v>42</v>
      </c>
      <c r="S97" s="2" t="s">
        <v>47</v>
      </c>
      <c r="T97" s="2" t="s">
        <v>42</v>
      </c>
      <c r="U97" s="2" t="s">
        <v>48</v>
      </c>
      <c r="V97" s="2" t="s">
        <v>82</v>
      </c>
      <c r="W97" s="2" t="s">
        <v>48</v>
      </c>
      <c r="X97" s="2" t="s">
        <v>76</v>
      </c>
      <c r="Y97" s="2" t="s">
        <v>42</v>
      </c>
      <c r="Z97" s="2" t="s">
        <v>42</v>
      </c>
      <c r="AA97" s="2" t="s">
        <v>77</v>
      </c>
      <c r="AB97" s="2" t="s">
        <v>42</v>
      </c>
      <c r="AC97" s="1" t="s">
        <v>95</v>
      </c>
      <c r="AD97" s="2" t="s">
        <v>48</v>
      </c>
      <c r="AE97" s="2" t="s">
        <v>44</v>
      </c>
      <c r="AF97" s="2" t="s">
        <v>218</v>
      </c>
      <c r="AG97" s="2" t="s">
        <v>48</v>
      </c>
      <c r="AH97" s="7" t="n">
        <f aca="false">(O97='Labeling Rules'!$C$6)*'Labeling Rules'!$D$6+(Q97='Labeling Rules'!$C$7)*'Labeling Rules'!$D$7+(R97='Labeling Rules'!$C$8)*'Labeling Rules'!$D$8+(R97='Labeling Rules'!$C$9)*'Labeling Rules'!$D$9+(P97='Labeling Rules'!$C$10)*'Labeling Rules'!$D$10+(M97='Labeling Rules'!$C$11)*'Labeling Rules'!$D$11+(T97='Labeling Rules'!$C$12)*'Labeling Rules'!$D$12+(U97='Labeling Rules'!$C$13)*'Labeling Rules'!$D$13+(W97='Labeling Rules'!$C$14)*'Labeling Rules'!$D$14+(Y97='Labeling Rules'!$C$15)*'Labeling Rules'!$D$15</f>
        <v>8</v>
      </c>
      <c r="AI97" s="7" t="n">
        <f aca="false">IF(AH97&gt;='Labeling Rules'!$D$17,1,0)</f>
        <v>1</v>
      </c>
    </row>
    <row r="98" customFormat="false" ht="14.25" hidden="false" customHeight="false" outlineLevel="0" collapsed="false">
      <c r="A98" s="0" t="n">
        <v>97</v>
      </c>
      <c r="B98" s="6" t="n">
        <v>46159.7292013889</v>
      </c>
      <c r="C98" s="6" t="n">
        <v>46159.732650463</v>
      </c>
      <c r="D98" s="1" t="s">
        <v>35</v>
      </c>
      <c r="F98" s="2" t="s">
        <v>36</v>
      </c>
      <c r="G98" s="2" t="s">
        <v>69</v>
      </c>
      <c r="H98" s="2" t="s">
        <v>38</v>
      </c>
      <c r="I98" s="2" t="s">
        <v>39</v>
      </c>
      <c r="J98" s="2" t="s">
        <v>65</v>
      </c>
      <c r="K98" s="2" t="s">
        <v>41</v>
      </c>
      <c r="L98" s="2" t="s">
        <v>48</v>
      </c>
      <c r="M98" s="2" t="s">
        <v>75</v>
      </c>
      <c r="N98" s="2" t="s">
        <v>75</v>
      </c>
      <c r="O98" s="2" t="s">
        <v>45</v>
      </c>
      <c r="P98" s="2" t="s">
        <v>76</v>
      </c>
      <c r="Q98" s="2" t="s">
        <v>58</v>
      </c>
      <c r="R98" s="2" t="s">
        <v>49</v>
      </c>
      <c r="S98" s="2" t="s">
        <v>47</v>
      </c>
      <c r="T98" s="2" t="s">
        <v>48</v>
      </c>
      <c r="U98" s="2" t="s">
        <v>44</v>
      </c>
      <c r="V98" s="2" t="s">
        <v>49</v>
      </c>
      <c r="W98" s="2" t="s">
        <v>48</v>
      </c>
      <c r="X98" s="2" t="s">
        <v>59</v>
      </c>
      <c r="Y98" s="2" t="s">
        <v>48</v>
      </c>
      <c r="Z98" s="2" t="s">
        <v>50</v>
      </c>
      <c r="AA98" s="2" t="s">
        <v>77</v>
      </c>
      <c r="AB98" s="2" t="s">
        <v>42</v>
      </c>
      <c r="AC98" s="1" t="s">
        <v>68</v>
      </c>
      <c r="AD98" s="2" t="s">
        <v>76</v>
      </c>
      <c r="AE98" s="2" t="s">
        <v>49</v>
      </c>
      <c r="AF98" s="2" t="s">
        <v>219</v>
      </c>
      <c r="AG98" s="2" t="s">
        <v>54</v>
      </c>
      <c r="AH98" s="7" t="n">
        <f aca="false">(O98='Labeling Rules'!$C$6)*'Labeling Rules'!$D$6+(Q98='Labeling Rules'!$C$7)*'Labeling Rules'!$D$7+(R98='Labeling Rules'!$C$8)*'Labeling Rules'!$D$8+(R98='Labeling Rules'!$C$9)*'Labeling Rules'!$D$9+(P98='Labeling Rules'!$C$10)*'Labeling Rules'!$D$10+(M98='Labeling Rules'!$C$11)*'Labeling Rules'!$D$11+(T98='Labeling Rules'!$C$12)*'Labeling Rules'!$D$12+(U98='Labeling Rules'!$C$13)*'Labeling Rules'!$D$13+(W98='Labeling Rules'!$C$14)*'Labeling Rules'!$D$14+(Y98='Labeling Rules'!$C$15)*'Labeling Rules'!$D$15</f>
        <v>3</v>
      </c>
      <c r="AI98" s="7" t="n">
        <f aca="false">IF(AH98&gt;='Labeling Rules'!$D$17,1,0)</f>
        <v>0</v>
      </c>
    </row>
    <row r="99" customFormat="false" ht="14.25" hidden="false" customHeight="false" outlineLevel="0" collapsed="false">
      <c r="A99" s="0" t="n">
        <v>98</v>
      </c>
      <c r="B99" s="6" t="n">
        <v>46159.759212963</v>
      </c>
      <c r="C99" s="6" t="n">
        <v>46159.762025463</v>
      </c>
      <c r="D99" s="1" t="s">
        <v>35</v>
      </c>
      <c r="F99" s="2" t="s">
        <v>36</v>
      </c>
      <c r="G99" s="2" t="s">
        <v>73</v>
      </c>
      <c r="H99" s="2" t="s">
        <v>38</v>
      </c>
      <c r="I99" s="2" t="s">
        <v>55</v>
      </c>
      <c r="J99" s="2" t="s">
        <v>56</v>
      </c>
      <c r="K99" s="2" t="s">
        <v>97</v>
      </c>
      <c r="L99" s="2" t="s">
        <v>42</v>
      </c>
      <c r="M99" s="2" t="s">
        <v>43</v>
      </c>
      <c r="N99" s="2" t="s">
        <v>74</v>
      </c>
      <c r="O99" s="2" t="s">
        <v>57</v>
      </c>
      <c r="P99" s="2" t="s">
        <v>42</v>
      </c>
      <c r="Q99" s="2" t="s">
        <v>81</v>
      </c>
      <c r="R99" s="2" t="s">
        <v>49</v>
      </c>
      <c r="S99" s="2" t="s">
        <v>47</v>
      </c>
      <c r="T99" s="2" t="s">
        <v>48</v>
      </c>
      <c r="U99" s="2" t="s">
        <v>44</v>
      </c>
      <c r="V99" s="2" t="s">
        <v>49</v>
      </c>
      <c r="W99" s="2" t="s">
        <v>48</v>
      </c>
      <c r="X99" s="2" t="s">
        <v>59</v>
      </c>
      <c r="Y99" s="2" t="s">
        <v>48</v>
      </c>
      <c r="Z99" s="2" t="s">
        <v>50</v>
      </c>
      <c r="AA99" s="2" t="s">
        <v>67</v>
      </c>
      <c r="AB99" s="2" t="s">
        <v>49</v>
      </c>
      <c r="AC99" s="1" t="s">
        <v>78</v>
      </c>
      <c r="AD99" s="2" t="s">
        <v>42</v>
      </c>
      <c r="AE99" s="2" t="s">
        <v>74</v>
      </c>
      <c r="AF99" s="1" t="s">
        <v>220</v>
      </c>
      <c r="AG99" s="1" t="s">
        <v>94</v>
      </c>
      <c r="AH99" s="7" t="n">
        <f aca="false">(O99='Labeling Rules'!$C$6)*'Labeling Rules'!$D$6+(Q99='Labeling Rules'!$C$7)*'Labeling Rules'!$D$7+(R99='Labeling Rules'!$C$8)*'Labeling Rules'!$D$8+(R99='Labeling Rules'!$C$9)*'Labeling Rules'!$D$9+(P99='Labeling Rules'!$C$10)*'Labeling Rules'!$D$10+(M99='Labeling Rules'!$C$11)*'Labeling Rules'!$D$11+(T99='Labeling Rules'!$C$12)*'Labeling Rules'!$D$12+(U99='Labeling Rules'!$C$13)*'Labeling Rules'!$D$13+(W99='Labeling Rules'!$C$14)*'Labeling Rules'!$D$14+(Y99='Labeling Rules'!$C$15)*'Labeling Rules'!$D$15</f>
        <v>3</v>
      </c>
      <c r="AI99" s="7" t="n">
        <f aca="false">IF(AH99&gt;='Labeling Rules'!$D$17,1,0)</f>
        <v>0</v>
      </c>
    </row>
    <row r="100" customFormat="false" ht="14.25" hidden="false" customHeight="false" outlineLevel="0" collapsed="false">
      <c r="A100" s="0" t="n">
        <v>99</v>
      </c>
      <c r="B100" s="6" t="n">
        <v>46159.8365740741</v>
      </c>
      <c r="C100" s="6" t="n">
        <v>46159.8392013889</v>
      </c>
      <c r="D100" s="1" t="s">
        <v>35</v>
      </c>
      <c r="F100" s="2" t="s">
        <v>36</v>
      </c>
      <c r="G100" s="2" t="s">
        <v>37</v>
      </c>
      <c r="H100" s="2" t="s">
        <v>38</v>
      </c>
      <c r="I100" s="2" t="s">
        <v>64</v>
      </c>
      <c r="J100" s="2" t="s">
        <v>65</v>
      </c>
      <c r="K100" s="2" t="s">
        <v>41</v>
      </c>
      <c r="L100" s="2" t="s">
        <v>42</v>
      </c>
      <c r="M100" s="2" t="s">
        <v>49</v>
      </c>
      <c r="N100" s="2" t="s">
        <v>49</v>
      </c>
      <c r="O100" s="2" t="s">
        <v>66</v>
      </c>
      <c r="P100" s="2" t="s">
        <v>42</v>
      </c>
      <c r="Q100" s="2" t="s">
        <v>81</v>
      </c>
      <c r="R100" s="2" t="s">
        <v>42</v>
      </c>
      <c r="S100" s="2" t="s">
        <v>48</v>
      </c>
      <c r="T100" s="2" t="s">
        <v>42</v>
      </c>
      <c r="U100" s="2" t="s">
        <v>44</v>
      </c>
      <c r="V100" s="2" t="s">
        <v>49</v>
      </c>
      <c r="W100" s="2" t="s">
        <v>42</v>
      </c>
      <c r="X100" s="2" t="s">
        <v>59</v>
      </c>
      <c r="Y100" s="2" t="s">
        <v>48</v>
      </c>
      <c r="Z100" s="2" t="s">
        <v>50</v>
      </c>
      <c r="AA100" s="2" t="s">
        <v>67</v>
      </c>
      <c r="AB100" s="2" t="s">
        <v>49</v>
      </c>
      <c r="AC100" s="1" t="s">
        <v>68</v>
      </c>
      <c r="AD100" s="2" t="s">
        <v>76</v>
      </c>
      <c r="AE100" s="2" t="s">
        <v>49</v>
      </c>
      <c r="AF100" s="1" t="s">
        <v>62</v>
      </c>
      <c r="AG100" s="1" t="s">
        <v>62</v>
      </c>
      <c r="AH100" s="7" t="n">
        <f aca="false">(O100='Labeling Rules'!$C$6)*'Labeling Rules'!$D$6+(Q100='Labeling Rules'!$C$7)*'Labeling Rules'!$D$7+(R100='Labeling Rules'!$C$8)*'Labeling Rules'!$D$8+(R100='Labeling Rules'!$C$9)*'Labeling Rules'!$D$9+(P100='Labeling Rules'!$C$10)*'Labeling Rules'!$D$10+(M100='Labeling Rules'!$C$11)*'Labeling Rules'!$D$11+(T100='Labeling Rules'!$C$12)*'Labeling Rules'!$D$12+(U100='Labeling Rules'!$C$13)*'Labeling Rules'!$D$13+(W100='Labeling Rules'!$C$14)*'Labeling Rules'!$D$14+(Y100='Labeling Rules'!$C$15)*'Labeling Rules'!$D$15</f>
        <v>6</v>
      </c>
      <c r="AI100" s="7" t="n">
        <f aca="false">IF(AH100&gt;='Labeling Rules'!$D$17,1,0)</f>
        <v>1</v>
      </c>
    </row>
    <row r="101" customFormat="false" ht="14.25" hidden="false" customHeight="false" outlineLevel="0" collapsed="false">
      <c r="A101" s="0" t="n">
        <v>100</v>
      </c>
      <c r="B101" s="6" t="n">
        <v>46159.8567939815</v>
      </c>
      <c r="C101" s="6" t="n">
        <v>46159.8587731482</v>
      </c>
      <c r="D101" s="1" t="s">
        <v>35</v>
      </c>
      <c r="F101" s="2" t="s">
        <v>63</v>
      </c>
      <c r="G101" s="2" t="s">
        <v>37</v>
      </c>
      <c r="H101" s="2" t="s">
        <v>38</v>
      </c>
      <c r="I101" s="2" t="s">
        <v>39</v>
      </c>
      <c r="J101" s="2" t="s">
        <v>65</v>
      </c>
      <c r="K101" s="2" t="s">
        <v>41</v>
      </c>
      <c r="L101" s="2" t="s">
        <v>42</v>
      </c>
      <c r="M101" s="2" t="s">
        <v>43</v>
      </c>
      <c r="N101" s="2" t="s">
        <v>49</v>
      </c>
      <c r="O101" s="2" t="s">
        <v>57</v>
      </c>
      <c r="P101" s="2" t="s">
        <v>76</v>
      </c>
      <c r="Q101" s="2" t="s">
        <v>46</v>
      </c>
      <c r="R101" s="2" t="s">
        <v>49</v>
      </c>
      <c r="S101" s="2" t="s">
        <v>48</v>
      </c>
      <c r="T101" s="2" t="s">
        <v>48</v>
      </c>
      <c r="U101" s="2" t="s">
        <v>44</v>
      </c>
      <c r="V101" s="2" t="s">
        <v>74</v>
      </c>
      <c r="W101" s="2" t="s">
        <v>48</v>
      </c>
      <c r="X101" s="2" t="s">
        <v>59</v>
      </c>
      <c r="Y101" s="2" t="s">
        <v>48</v>
      </c>
      <c r="Z101" s="2" t="s">
        <v>50</v>
      </c>
      <c r="AA101" s="2" t="s">
        <v>67</v>
      </c>
      <c r="AB101" s="2" t="s">
        <v>49</v>
      </c>
      <c r="AC101" s="1" t="s">
        <v>52</v>
      </c>
      <c r="AD101" s="2" t="s">
        <v>42</v>
      </c>
      <c r="AE101" s="2" t="s">
        <v>49</v>
      </c>
      <c r="AF101" s="1" t="s">
        <v>206</v>
      </c>
      <c r="AG101" s="1" t="s">
        <v>206</v>
      </c>
      <c r="AH101" s="7" t="n">
        <f aca="false">(O101='Labeling Rules'!$C$6)*'Labeling Rules'!$D$6+(Q101='Labeling Rules'!$C$7)*'Labeling Rules'!$D$7+(R101='Labeling Rules'!$C$8)*'Labeling Rules'!$D$8+(R101='Labeling Rules'!$C$9)*'Labeling Rules'!$D$9+(P101='Labeling Rules'!$C$10)*'Labeling Rules'!$D$10+(M101='Labeling Rules'!$C$11)*'Labeling Rules'!$D$11+(T101='Labeling Rules'!$C$12)*'Labeling Rules'!$D$12+(U101='Labeling Rules'!$C$13)*'Labeling Rules'!$D$13+(W101='Labeling Rules'!$C$14)*'Labeling Rules'!$D$14+(Y101='Labeling Rules'!$C$15)*'Labeling Rules'!$D$15</f>
        <v>1</v>
      </c>
      <c r="AI101" s="7" t="n">
        <f aca="false">IF(AH101&gt;='Labeling Rules'!$D$17,1,0)</f>
        <v>0</v>
      </c>
    </row>
    <row r="102" customFormat="false" ht="14.25" hidden="false" customHeight="false" outlineLevel="0" collapsed="false">
      <c r="A102" s="0" t="n">
        <v>101</v>
      </c>
      <c r="B102" s="6" t="n">
        <v>46159.8578009259</v>
      </c>
      <c r="C102" s="6" t="n">
        <v>46159.8603356482</v>
      </c>
      <c r="D102" s="8" t="s">
        <v>35</v>
      </c>
      <c r="E102" s="8"/>
      <c r="F102" s="9" t="s">
        <v>63</v>
      </c>
      <c r="G102" s="9" t="s">
        <v>37</v>
      </c>
      <c r="H102" s="9" t="s">
        <v>38</v>
      </c>
      <c r="I102" s="9" t="s">
        <v>64</v>
      </c>
      <c r="J102" s="9" t="s">
        <v>65</v>
      </c>
      <c r="K102" s="9" t="s">
        <v>41</v>
      </c>
      <c r="L102" s="9" t="s">
        <v>42</v>
      </c>
      <c r="M102" s="9" t="s">
        <v>43</v>
      </c>
      <c r="N102" s="9" t="s">
        <v>43</v>
      </c>
      <c r="O102" s="9" t="s">
        <v>45</v>
      </c>
      <c r="P102" s="9" t="s">
        <v>48</v>
      </c>
      <c r="Q102" s="9" t="s">
        <v>46</v>
      </c>
      <c r="R102" s="9" t="s">
        <v>42</v>
      </c>
      <c r="S102" s="9" t="s">
        <v>48</v>
      </c>
      <c r="T102" s="9" t="s">
        <v>42</v>
      </c>
      <c r="U102" s="9" t="s">
        <v>49</v>
      </c>
      <c r="V102" s="9" t="s">
        <v>82</v>
      </c>
      <c r="W102" s="9" t="s">
        <v>48</v>
      </c>
      <c r="X102" s="9" t="s">
        <v>59</v>
      </c>
      <c r="Y102" s="9" t="s">
        <v>48</v>
      </c>
      <c r="Z102" s="9" t="s">
        <v>50</v>
      </c>
      <c r="AA102" s="9" t="s">
        <v>60</v>
      </c>
      <c r="AB102" s="9" t="s">
        <v>49</v>
      </c>
      <c r="AC102" s="8" t="s">
        <v>221</v>
      </c>
      <c r="AD102" s="9" t="s">
        <v>42</v>
      </c>
      <c r="AE102" s="9" t="s">
        <v>49</v>
      </c>
      <c r="AF102" s="8" t="s">
        <v>222</v>
      </c>
      <c r="AG102" s="8" t="s">
        <v>187</v>
      </c>
      <c r="AH102" s="7" t="n">
        <f aca="false">(O102='Labeling Rules'!$C$6)*'Labeling Rules'!$D$6+(Q102='Labeling Rules'!$C$7)*'Labeling Rules'!$D$7+(R102='Labeling Rules'!$C$8)*'Labeling Rules'!$D$8+(R102='Labeling Rules'!$C$9)*'Labeling Rules'!$D$9+(P102='Labeling Rules'!$C$10)*'Labeling Rules'!$D$10+(M102='Labeling Rules'!$C$11)*'Labeling Rules'!$D$11+(T102='Labeling Rules'!$C$12)*'Labeling Rules'!$D$12+(U102='Labeling Rules'!$C$13)*'Labeling Rules'!$D$13+(W102='Labeling Rules'!$C$14)*'Labeling Rules'!$D$14+(Y102='Labeling Rules'!$C$15)*'Labeling Rules'!$D$15</f>
        <v>6</v>
      </c>
      <c r="AI102" s="7" t="n">
        <f aca="false">IF(AH102&gt;='Labeling Rules'!$D$17,1,0)</f>
        <v>1</v>
      </c>
    </row>
    <row r="103" customFormat="false" ht="14.25" hidden="false" customHeight="false" outlineLevel="0" collapsed="false">
      <c r="A103" s="0" t="n">
        <v>102</v>
      </c>
      <c r="B103" s="6" t="n">
        <v>46159.8582638889</v>
      </c>
      <c r="C103" s="6" t="n">
        <v>46159.8605439815</v>
      </c>
      <c r="D103" s="8" t="s">
        <v>35</v>
      </c>
      <c r="E103" s="8"/>
      <c r="F103" s="9" t="s">
        <v>63</v>
      </c>
      <c r="G103" s="9" t="s">
        <v>37</v>
      </c>
      <c r="H103" s="9" t="s">
        <v>38</v>
      </c>
      <c r="I103" s="9" t="s">
        <v>55</v>
      </c>
      <c r="J103" s="9" t="s">
        <v>65</v>
      </c>
      <c r="K103" s="9" t="s">
        <v>41</v>
      </c>
      <c r="L103" s="9" t="s">
        <v>42</v>
      </c>
      <c r="M103" s="9" t="s">
        <v>43</v>
      </c>
      <c r="N103" s="9" t="s">
        <v>43</v>
      </c>
      <c r="O103" s="9" t="s">
        <v>66</v>
      </c>
      <c r="P103" s="9" t="s">
        <v>42</v>
      </c>
      <c r="Q103" s="9" t="s">
        <v>58</v>
      </c>
      <c r="R103" s="9" t="s">
        <v>49</v>
      </c>
      <c r="S103" s="9" t="s">
        <v>47</v>
      </c>
      <c r="T103" s="9" t="s">
        <v>48</v>
      </c>
      <c r="U103" s="9" t="s">
        <v>48</v>
      </c>
      <c r="V103" s="9" t="s">
        <v>49</v>
      </c>
      <c r="W103" s="9" t="s">
        <v>48</v>
      </c>
      <c r="X103" s="9" t="s">
        <v>76</v>
      </c>
      <c r="Y103" s="9" t="s">
        <v>48</v>
      </c>
      <c r="Z103" s="9" t="s">
        <v>50</v>
      </c>
      <c r="AA103" s="9" t="s">
        <v>60</v>
      </c>
      <c r="AB103" s="9" t="s">
        <v>49</v>
      </c>
      <c r="AC103" s="8" t="s">
        <v>223</v>
      </c>
      <c r="AD103" s="9" t="s">
        <v>42</v>
      </c>
      <c r="AE103" s="9" t="s">
        <v>49</v>
      </c>
      <c r="AF103" s="9" t="s">
        <v>224</v>
      </c>
      <c r="AG103" s="9" t="s">
        <v>42</v>
      </c>
      <c r="AH103" s="7" t="n">
        <f aca="false">(O103='Labeling Rules'!$C$6)*'Labeling Rules'!$D$6+(Q103='Labeling Rules'!$C$7)*'Labeling Rules'!$D$7+(R103='Labeling Rules'!$C$8)*'Labeling Rules'!$D$8+(R103='Labeling Rules'!$C$9)*'Labeling Rules'!$D$9+(P103='Labeling Rules'!$C$10)*'Labeling Rules'!$D$10+(M103='Labeling Rules'!$C$11)*'Labeling Rules'!$D$11+(T103='Labeling Rules'!$C$12)*'Labeling Rules'!$D$12+(U103='Labeling Rules'!$C$13)*'Labeling Rules'!$D$13+(W103='Labeling Rules'!$C$14)*'Labeling Rules'!$D$14+(Y103='Labeling Rules'!$C$15)*'Labeling Rules'!$D$15</f>
        <v>2</v>
      </c>
      <c r="AI103" s="7" t="n">
        <f aca="false">IF(AH103&gt;='Labeling Rules'!$D$17,1,0)</f>
        <v>0</v>
      </c>
    </row>
    <row r="104" customFormat="false" ht="14.25" hidden="false" customHeight="false" outlineLevel="0" collapsed="false">
      <c r="A104" s="0" t="n">
        <v>103</v>
      </c>
      <c r="B104" s="6" t="n">
        <v>46159.860787037</v>
      </c>
      <c r="C104" s="6" t="n">
        <v>46159.8652777778</v>
      </c>
      <c r="D104" s="8" t="s">
        <v>35</v>
      </c>
      <c r="E104" s="8"/>
      <c r="F104" s="9" t="s">
        <v>36</v>
      </c>
      <c r="G104" s="9" t="s">
        <v>37</v>
      </c>
      <c r="H104" s="9" t="s">
        <v>38</v>
      </c>
      <c r="I104" s="9" t="s">
        <v>64</v>
      </c>
      <c r="J104" s="9" t="s">
        <v>65</v>
      </c>
      <c r="K104" s="9" t="s">
        <v>41</v>
      </c>
      <c r="L104" s="9" t="s">
        <v>42</v>
      </c>
      <c r="M104" s="9" t="s">
        <v>44</v>
      </c>
      <c r="N104" s="9" t="s">
        <v>43</v>
      </c>
      <c r="O104" s="9" t="s">
        <v>57</v>
      </c>
      <c r="P104" s="9" t="s">
        <v>42</v>
      </c>
      <c r="Q104" s="9" t="s">
        <v>58</v>
      </c>
      <c r="R104" s="9" t="s">
        <v>49</v>
      </c>
      <c r="S104" s="9" t="s">
        <v>47</v>
      </c>
      <c r="T104" s="9" t="s">
        <v>48</v>
      </c>
      <c r="U104" s="9" t="s">
        <v>49</v>
      </c>
      <c r="V104" s="9" t="s">
        <v>49</v>
      </c>
      <c r="W104" s="9" t="s">
        <v>48</v>
      </c>
      <c r="X104" s="9" t="s">
        <v>59</v>
      </c>
      <c r="Y104" s="9" t="s">
        <v>48</v>
      </c>
      <c r="Z104" s="9" t="s">
        <v>50</v>
      </c>
      <c r="AA104" s="9" t="s">
        <v>77</v>
      </c>
      <c r="AB104" s="9" t="s">
        <v>42</v>
      </c>
      <c r="AC104" s="8" t="s">
        <v>221</v>
      </c>
      <c r="AD104" s="9" t="s">
        <v>42</v>
      </c>
      <c r="AE104" s="9" t="s">
        <v>49</v>
      </c>
      <c r="AF104" s="9" t="s">
        <v>225</v>
      </c>
      <c r="AG104" s="9" t="s">
        <v>226</v>
      </c>
      <c r="AH104" s="7" t="n">
        <f aca="false">(O104='Labeling Rules'!$C$6)*'Labeling Rules'!$D$6+(Q104='Labeling Rules'!$C$7)*'Labeling Rules'!$D$7+(R104='Labeling Rules'!$C$8)*'Labeling Rules'!$D$8+(R104='Labeling Rules'!$C$9)*'Labeling Rules'!$D$9+(P104='Labeling Rules'!$C$10)*'Labeling Rules'!$D$10+(M104='Labeling Rules'!$C$11)*'Labeling Rules'!$D$11+(T104='Labeling Rules'!$C$12)*'Labeling Rules'!$D$12+(U104='Labeling Rules'!$C$13)*'Labeling Rules'!$D$13+(W104='Labeling Rules'!$C$14)*'Labeling Rules'!$D$14+(Y104='Labeling Rules'!$C$15)*'Labeling Rules'!$D$15</f>
        <v>2</v>
      </c>
      <c r="AI104" s="7" t="n">
        <f aca="false">IF(AH104&gt;='Labeling Rules'!$D$17,1,0)</f>
        <v>0</v>
      </c>
    </row>
    <row r="105" customFormat="false" ht="14.25" hidden="false" customHeight="false" outlineLevel="0" collapsed="false">
      <c r="A105" s="0" t="n">
        <v>104</v>
      </c>
      <c r="B105" s="6" t="n">
        <v>46159.8662268519</v>
      </c>
      <c r="C105" s="6" t="n">
        <v>46159.8678356482</v>
      </c>
      <c r="D105" s="8" t="s">
        <v>35</v>
      </c>
      <c r="E105" s="8"/>
      <c r="F105" s="9" t="s">
        <v>36</v>
      </c>
      <c r="G105" s="9" t="s">
        <v>37</v>
      </c>
      <c r="H105" s="9" t="s">
        <v>38</v>
      </c>
      <c r="I105" s="9" t="s">
        <v>80</v>
      </c>
      <c r="J105" s="9" t="s">
        <v>150</v>
      </c>
      <c r="K105" s="9" t="s">
        <v>41</v>
      </c>
      <c r="L105" s="9" t="s">
        <v>42</v>
      </c>
      <c r="M105" s="9" t="s">
        <v>49</v>
      </c>
      <c r="N105" s="9" t="s">
        <v>74</v>
      </c>
      <c r="O105" s="9" t="s">
        <v>45</v>
      </c>
      <c r="P105" s="9" t="s">
        <v>76</v>
      </c>
      <c r="Q105" s="9" t="s">
        <v>81</v>
      </c>
      <c r="R105" s="9" t="s">
        <v>49</v>
      </c>
      <c r="S105" s="9" t="s">
        <v>42</v>
      </c>
      <c r="T105" s="9" t="s">
        <v>42</v>
      </c>
      <c r="U105" s="9" t="s">
        <v>49</v>
      </c>
      <c r="V105" s="9" t="s">
        <v>49</v>
      </c>
      <c r="W105" s="9" t="s">
        <v>48</v>
      </c>
      <c r="X105" s="9" t="s">
        <v>76</v>
      </c>
      <c r="Y105" s="9" t="s">
        <v>48</v>
      </c>
      <c r="Z105" s="9" t="s">
        <v>50</v>
      </c>
      <c r="AA105" s="9" t="s">
        <v>77</v>
      </c>
      <c r="AB105" s="9" t="s">
        <v>49</v>
      </c>
      <c r="AC105" s="8" t="s">
        <v>221</v>
      </c>
      <c r="AD105" s="9" t="s">
        <v>76</v>
      </c>
      <c r="AE105" s="9" t="s">
        <v>49</v>
      </c>
      <c r="AF105" s="8" t="s">
        <v>227</v>
      </c>
      <c r="AG105" s="8" t="s">
        <v>94</v>
      </c>
      <c r="AH105" s="7" t="n">
        <f aca="false">(O105='Labeling Rules'!$C$6)*'Labeling Rules'!$D$6+(Q105='Labeling Rules'!$C$7)*'Labeling Rules'!$D$7+(R105='Labeling Rules'!$C$8)*'Labeling Rules'!$D$8+(R105='Labeling Rules'!$C$9)*'Labeling Rules'!$D$9+(P105='Labeling Rules'!$C$10)*'Labeling Rules'!$D$10+(M105='Labeling Rules'!$C$11)*'Labeling Rules'!$D$11+(T105='Labeling Rules'!$C$12)*'Labeling Rules'!$D$12+(U105='Labeling Rules'!$C$13)*'Labeling Rules'!$D$13+(W105='Labeling Rules'!$C$14)*'Labeling Rules'!$D$14+(Y105='Labeling Rules'!$C$15)*'Labeling Rules'!$D$15</f>
        <v>6</v>
      </c>
      <c r="AI105" s="7" t="n">
        <f aca="false">IF(AH105&gt;='Labeling Rules'!$D$17,1,0)</f>
        <v>1</v>
      </c>
    </row>
    <row r="106" customFormat="false" ht="14.25" hidden="false" customHeight="false" outlineLevel="0" collapsed="false">
      <c r="A106" s="0" t="n">
        <v>105</v>
      </c>
      <c r="B106" s="6" t="n">
        <v>46159.8665625</v>
      </c>
      <c r="C106" s="6" t="n">
        <v>46159.8689699074</v>
      </c>
      <c r="D106" s="8" t="s">
        <v>35</v>
      </c>
      <c r="E106" s="8"/>
      <c r="F106" s="9" t="s">
        <v>36</v>
      </c>
      <c r="G106" s="9" t="s">
        <v>37</v>
      </c>
      <c r="H106" s="9" t="s">
        <v>38</v>
      </c>
      <c r="I106" s="9" t="s">
        <v>64</v>
      </c>
      <c r="J106" s="9" t="s">
        <v>56</v>
      </c>
      <c r="K106" s="9" t="s">
        <v>41</v>
      </c>
      <c r="L106" s="9" t="s">
        <v>42</v>
      </c>
      <c r="M106" s="9" t="s">
        <v>43</v>
      </c>
      <c r="N106" s="9" t="s">
        <v>49</v>
      </c>
      <c r="O106" s="9" t="s">
        <v>66</v>
      </c>
      <c r="P106" s="9" t="s">
        <v>42</v>
      </c>
      <c r="Q106" s="9" t="s">
        <v>46</v>
      </c>
      <c r="R106" s="9" t="s">
        <v>49</v>
      </c>
      <c r="S106" s="9" t="s">
        <v>48</v>
      </c>
      <c r="T106" s="9" t="s">
        <v>48</v>
      </c>
      <c r="U106" s="9" t="s">
        <v>44</v>
      </c>
      <c r="V106" s="9" t="s">
        <v>49</v>
      </c>
      <c r="W106" s="9" t="s">
        <v>48</v>
      </c>
      <c r="X106" s="9" t="s">
        <v>59</v>
      </c>
      <c r="Y106" s="9" t="s">
        <v>48</v>
      </c>
      <c r="Z106" s="9" t="s">
        <v>50</v>
      </c>
      <c r="AA106" s="9" t="s">
        <v>67</v>
      </c>
      <c r="AB106" s="9" t="s">
        <v>49</v>
      </c>
      <c r="AC106" s="8" t="s">
        <v>221</v>
      </c>
      <c r="AD106" s="9" t="s">
        <v>42</v>
      </c>
      <c r="AE106" s="9" t="s">
        <v>44</v>
      </c>
      <c r="AF106" s="8" t="s">
        <v>62</v>
      </c>
      <c r="AG106" s="8" t="s">
        <v>62</v>
      </c>
      <c r="AH106" s="7" t="n">
        <f aca="false">(O106='Labeling Rules'!$C$6)*'Labeling Rules'!$D$6+(Q106='Labeling Rules'!$C$7)*'Labeling Rules'!$D$7+(R106='Labeling Rules'!$C$8)*'Labeling Rules'!$D$8+(R106='Labeling Rules'!$C$9)*'Labeling Rules'!$D$9+(P106='Labeling Rules'!$C$10)*'Labeling Rules'!$D$10+(M106='Labeling Rules'!$C$11)*'Labeling Rules'!$D$11+(T106='Labeling Rules'!$C$12)*'Labeling Rules'!$D$12+(U106='Labeling Rules'!$C$13)*'Labeling Rules'!$D$13+(W106='Labeling Rules'!$C$14)*'Labeling Rules'!$D$14+(Y106='Labeling Rules'!$C$15)*'Labeling Rules'!$D$15</f>
        <v>1</v>
      </c>
      <c r="AI106" s="7" t="n">
        <f aca="false">IF(AH106&gt;='Labeling Rules'!$D$17,1,0)</f>
        <v>0</v>
      </c>
    </row>
    <row r="107" customFormat="false" ht="14.25" hidden="false" customHeight="false" outlineLevel="0" collapsed="false">
      <c r="A107" s="0" t="n">
        <v>106</v>
      </c>
      <c r="B107" s="6" t="n">
        <v>46159.8656481481</v>
      </c>
      <c r="C107" s="6" t="n">
        <v>46159.8696990741</v>
      </c>
      <c r="D107" s="8" t="s">
        <v>35</v>
      </c>
      <c r="E107" s="8"/>
      <c r="F107" s="9" t="s">
        <v>63</v>
      </c>
      <c r="G107" s="9" t="s">
        <v>37</v>
      </c>
      <c r="H107" s="9" t="s">
        <v>38</v>
      </c>
      <c r="I107" s="9" t="s">
        <v>55</v>
      </c>
      <c r="J107" s="9" t="s">
        <v>65</v>
      </c>
      <c r="K107" s="9" t="s">
        <v>41</v>
      </c>
      <c r="L107" s="9" t="s">
        <v>42</v>
      </c>
      <c r="M107" s="9" t="s">
        <v>49</v>
      </c>
      <c r="N107" s="9" t="s">
        <v>43</v>
      </c>
      <c r="O107" s="9" t="s">
        <v>66</v>
      </c>
      <c r="P107" s="9" t="s">
        <v>42</v>
      </c>
      <c r="Q107" s="9" t="s">
        <v>58</v>
      </c>
      <c r="R107" s="9" t="s">
        <v>49</v>
      </c>
      <c r="S107" s="9" t="s">
        <v>48</v>
      </c>
      <c r="T107" s="9" t="s">
        <v>48</v>
      </c>
      <c r="U107" s="9" t="s">
        <v>44</v>
      </c>
      <c r="V107" s="9" t="s">
        <v>49</v>
      </c>
      <c r="W107" s="9" t="s">
        <v>48</v>
      </c>
      <c r="X107" s="9" t="s">
        <v>59</v>
      </c>
      <c r="Y107" s="9" t="s">
        <v>48</v>
      </c>
      <c r="Z107" s="9" t="s">
        <v>50</v>
      </c>
      <c r="AA107" s="9" t="s">
        <v>77</v>
      </c>
      <c r="AB107" s="9" t="s">
        <v>42</v>
      </c>
      <c r="AC107" s="8" t="s">
        <v>228</v>
      </c>
      <c r="AD107" s="9" t="s">
        <v>42</v>
      </c>
      <c r="AE107" s="9" t="s">
        <v>74</v>
      </c>
      <c r="AF107" s="9" t="s">
        <v>229</v>
      </c>
      <c r="AG107" s="9" t="s">
        <v>230</v>
      </c>
      <c r="AH107" s="7" t="n">
        <f aca="false">(O107='Labeling Rules'!$C$6)*'Labeling Rules'!$D$6+(Q107='Labeling Rules'!$C$7)*'Labeling Rules'!$D$7+(R107='Labeling Rules'!$C$8)*'Labeling Rules'!$D$8+(R107='Labeling Rules'!$C$9)*'Labeling Rules'!$D$9+(P107='Labeling Rules'!$C$10)*'Labeling Rules'!$D$10+(M107='Labeling Rules'!$C$11)*'Labeling Rules'!$D$11+(T107='Labeling Rules'!$C$12)*'Labeling Rules'!$D$12+(U107='Labeling Rules'!$C$13)*'Labeling Rules'!$D$13+(W107='Labeling Rules'!$C$14)*'Labeling Rules'!$D$14+(Y107='Labeling Rules'!$C$15)*'Labeling Rules'!$D$15</f>
        <v>1</v>
      </c>
      <c r="AI107" s="7" t="n">
        <f aca="false">IF(AH107&gt;='Labeling Rules'!$D$17,1,0)</f>
        <v>0</v>
      </c>
    </row>
    <row r="108" customFormat="false" ht="14.25" hidden="false" customHeight="false" outlineLevel="0" collapsed="false">
      <c r="A108" s="0" t="n">
        <v>107</v>
      </c>
      <c r="B108" s="6" t="n">
        <v>46159.8684143519</v>
      </c>
      <c r="C108" s="6" t="n">
        <v>46159.8707986111</v>
      </c>
      <c r="D108" s="8" t="s">
        <v>35</v>
      </c>
      <c r="E108" s="8"/>
      <c r="F108" s="9" t="s">
        <v>36</v>
      </c>
      <c r="G108" s="9" t="s">
        <v>37</v>
      </c>
      <c r="H108" s="9" t="s">
        <v>38</v>
      </c>
      <c r="I108" s="9" t="s">
        <v>39</v>
      </c>
      <c r="J108" s="9" t="s">
        <v>65</v>
      </c>
      <c r="K108" s="9" t="s">
        <v>41</v>
      </c>
      <c r="L108" s="9" t="s">
        <v>42</v>
      </c>
      <c r="M108" s="9" t="s">
        <v>49</v>
      </c>
      <c r="N108" s="9" t="s">
        <v>74</v>
      </c>
      <c r="O108" s="9" t="s">
        <v>45</v>
      </c>
      <c r="P108" s="9" t="s">
        <v>76</v>
      </c>
      <c r="Q108" s="9" t="s">
        <v>81</v>
      </c>
      <c r="R108" s="9" t="s">
        <v>49</v>
      </c>
      <c r="S108" s="9" t="s">
        <v>47</v>
      </c>
      <c r="T108" s="9" t="s">
        <v>48</v>
      </c>
      <c r="U108" s="9" t="s">
        <v>44</v>
      </c>
      <c r="V108" s="9" t="s">
        <v>49</v>
      </c>
      <c r="W108" s="9" t="s">
        <v>48</v>
      </c>
      <c r="X108" s="9" t="s">
        <v>76</v>
      </c>
      <c r="Y108" s="9" t="s">
        <v>48</v>
      </c>
      <c r="Z108" s="9" t="s">
        <v>50</v>
      </c>
      <c r="AA108" s="9" t="s">
        <v>60</v>
      </c>
      <c r="AB108" s="9" t="s">
        <v>49</v>
      </c>
      <c r="AC108" s="8" t="s">
        <v>221</v>
      </c>
      <c r="AD108" s="9" t="s">
        <v>76</v>
      </c>
      <c r="AE108" s="9" t="s">
        <v>49</v>
      </c>
      <c r="AF108" s="8" t="s">
        <v>231</v>
      </c>
      <c r="AG108" s="9" t="s">
        <v>42</v>
      </c>
      <c r="AH108" s="7" t="n">
        <f aca="false">(O108='Labeling Rules'!$C$6)*'Labeling Rules'!$D$6+(Q108='Labeling Rules'!$C$7)*'Labeling Rules'!$D$7+(R108='Labeling Rules'!$C$8)*'Labeling Rules'!$D$8+(R108='Labeling Rules'!$C$9)*'Labeling Rules'!$D$9+(P108='Labeling Rules'!$C$10)*'Labeling Rules'!$D$10+(M108='Labeling Rules'!$C$11)*'Labeling Rules'!$D$11+(T108='Labeling Rules'!$C$12)*'Labeling Rules'!$D$12+(U108='Labeling Rules'!$C$13)*'Labeling Rules'!$D$13+(W108='Labeling Rules'!$C$14)*'Labeling Rules'!$D$14+(Y108='Labeling Rules'!$C$15)*'Labeling Rules'!$D$15</f>
        <v>5</v>
      </c>
      <c r="AI108" s="7" t="n">
        <f aca="false">IF(AH108&gt;='Labeling Rules'!$D$17,1,0)</f>
        <v>1</v>
      </c>
    </row>
    <row r="109" customFormat="false" ht="14.25" hidden="false" customHeight="false" outlineLevel="0" collapsed="false">
      <c r="A109" s="0" t="n">
        <v>108</v>
      </c>
      <c r="B109" s="6" t="n">
        <v>46159.8698148148</v>
      </c>
      <c r="C109" s="6" t="n">
        <v>46159.8720486111</v>
      </c>
      <c r="D109" s="8" t="s">
        <v>35</v>
      </c>
      <c r="E109" s="8"/>
      <c r="F109" s="9" t="s">
        <v>36</v>
      </c>
      <c r="G109" s="9" t="s">
        <v>37</v>
      </c>
      <c r="H109" s="9" t="s">
        <v>38</v>
      </c>
      <c r="I109" s="9" t="s">
        <v>39</v>
      </c>
      <c r="J109" s="9" t="s">
        <v>65</v>
      </c>
      <c r="K109" s="9" t="s">
        <v>41</v>
      </c>
      <c r="L109" s="9" t="s">
        <v>42</v>
      </c>
      <c r="M109" s="9" t="s">
        <v>44</v>
      </c>
      <c r="N109" s="9" t="s">
        <v>43</v>
      </c>
      <c r="O109" s="9" t="s">
        <v>66</v>
      </c>
      <c r="P109" s="9" t="s">
        <v>42</v>
      </c>
      <c r="Q109" s="9" t="s">
        <v>46</v>
      </c>
      <c r="R109" s="9" t="s">
        <v>42</v>
      </c>
      <c r="S109" s="9" t="s">
        <v>47</v>
      </c>
      <c r="T109" s="9" t="s">
        <v>42</v>
      </c>
      <c r="U109" s="9" t="s">
        <v>44</v>
      </c>
      <c r="V109" s="9" t="s">
        <v>82</v>
      </c>
      <c r="W109" s="9" t="s">
        <v>42</v>
      </c>
      <c r="X109" s="9" t="s">
        <v>59</v>
      </c>
      <c r="Y109" s="9" t="s">
        <v>42</v>
      </c>
      <c r="Z109" s="9" t="s">
        <v>42</v>
      </c>
      <c r="AA109" s="9" t="s">
        <v>67</v>
      </c>
      <c r="AB109" s="9" t="s">
        <v>42</v>
      </c>
      <c r="AC109" s="8" t="s">
        <v>221</v>
      </c>
      <c r="AD109" s="9" t="s">
        <v>76</v>
      </c>
      <c r="AE109" s="9" t="s">
        <v>44</v>
      </c>
      <c r="AF109" s="8" t="s">
        <v>62</v>
      </c>
      <c r="AG109" s="8" t="s">
        <v>62</v>
      </c>
      <c r="AH109" s="7" t="n">
        <f aca="false">(O109='Labeling Rules'!$C$6)*'Labeling Rules'!$D$6+(Q109='Labeling Rules'!$C$7)*'Labeling Rules'!$D$7+(R109='Labeling Rules'!$C$8)*'Labeling Rules'!$D$8+(R109='Labeling Rules'!$C$9)*'Labeling Rules'!$D$9+(P109='Labeling Rules'!$C$10)*'Labeling Rules'!$D$10+(M109='Labeling Rules'!$C$11)*'Labeling Rules'!$D$11+(T109='Labeling Rules'!$C$12)*'Labeling Rules'!$D$12+(U109='Labeling Rules'!$C$13)*'Labeling Rules'!$D$13+(W109='Labeling Rules'!$C$14)*'Labeling Rules'!$D$14+(Y109='Labeling Rules'!$C$15)*'Labeling Rules'!$D$15</f>
        <v>6</v>
      </c>
      <c r="AI109" s="7" t="n">
        <f aca="false">IF(AH109&gt;='Labeling Rules'!$D$17,1,0)</f>
        <v>1</v>
      </c>
    </row>
    <row r="110" customFormat="false" ht="129" hidden="false" customHeight="true" outlineLevel="0" collapsed="false">
      <c r="A110" s="0" t="n">
        <v>109</v>
      </c>
      <c r="B110" s="6" t="n">
        <v>46159.8657175926</v>
      </c>
      <c r="C110" s="6" t="n">
        <v>46159.8734143519</v>
      </c>
      <c r="D110" s="8" t="s">
        <v>35</v>
      </c>
      <c r="E110" s="8"/>
      <c r="F110" s="9" t="s">
        <v>63</v>
      </c>
      <c r="G110" s="9" t="s">
        <v>37</v>
      </c>
      <c r="H110" s="9" t="s">
        <v>38</v>
      </c>
      <c r="I110" s="9" t="s">
        <v>39</v>
      </c>
      <c r="J110" s="9" t="s">
        <v>65</v>
      </c>
      <c r="K110" s="9" t="s">
        <v>41</v>
      </c>
      <c r="L110" s="9" t="s">
        <v>42</v>
      </c>
      <c r="M110" s="9" t="s">
        <v>44</v>
      </c>
      <c r="N110" s="9" t="s">
        <v>43</v>
      </c>
      <c r="O110" s="9" t="s">
        <v>45</v>
      </c>
      <c r="P110" s="9" t="s">
        <v>42</v>
      </c>
      <c r="Q110" s="9" t="s">
        <v>81</v>
      </c>
      <c r="R110" s="9" t="s">
        <v>42</v>
      </c>
      <c r="S110" s="9" t="s">
        <v>47</v>
      </c>
      <c r="T110" s="9" t="s">
        <v>42</v>
      </c>
      <c r="U110" s="9" t="s">
        <v>49</v>
      </c>
      <c r="V110" s="9" t="s">
        <v>82</v>
      </c>
      <c r="W110" s="9" t="s">
        <v>48</v>
      </c>
      <c r="X110" s="9" t="s">
        <v>59</v>
      </c>
      <c r="Y110" s="9" t="s">
        <v>42</v>
      </c>
      <c r="Z110" s="9" t="s">
        <v>48</v>
      </c>
      <c r="AA110" s="9" t="s">
        <v>60</v>
      </c>
      <c r="AB110" s="9" t="s">
        <v>49</v>
      </c>
      <c r="AC110" s="8" t="s">
        <v>232</v>
      </c>
      <c r="AD110" s="9" t="s">
        <v>76</v>
      </c>
      <c r="AE110" s="9" t="s">
        <v>49</v>
      </c>
      <c r="AF110" s="8" t="s">
        <v>233</v>
      </c>
      <c r="AG110" s="10" t="s">
        <v>234</v>
      </c>
      <c r="AH110" s="7" t="n">
        <f aca="false">(O110='Labeling Rules'!$C$6)*'Labeling Rules'!$D$6+(Q110='Labeling Rules'!$C$7)*'Labeling Rules'!$D$7+(R110='Labeling Rules'!$C$8)*'Labeling Rules'!$D$8+(R110='Labeling Rules'!$C$9)*'Labeling Rules'!$D$9+(P110='Labeling Rules'!$C$10)*'Labeling Rules'!$D$10+(M110='Labeling Rules'!$C$11)*'Labeling Rules'!$D$11+(T110='Labeling Rules'!$C$12)*'Labeling Rules'!$D$12+(U110='Labeling Rules'!$C$13)*'Labeling Rules'!$D$13+(W110='Labeling Rules'!$C$14)*'Labeling Rules'!$D$14+(Y110='Labeling Rules'!$C$15)*'Labeling Rules'!$D$15</f>
        <v>9</v>
      </c>
      <c r="AI110" s="7" t="n">
        <f aca="false">IF(AH110&gt;='Labeling Rules'!$D$17,1,0)</f>
        <v>1</v>
      </c>
    </row>
    <row r="111" customFormat="false" ht="14.25" hidden="false" customHeight="false" outlineLevel="0" collapsed="false">
      <c r="A111" s="0" t="n">
        <v>110</v>
      </c>
      <c r="B111" s="6" t="n">
        <v>46159.8718287037</v>
      </c>
      <c r="C111" s="6" t="n">
        <v>46159.8755092593</v>
      </c>
      <c r="D111" s="8" t="s">
        <v>35</v>
      </c>
      <c r="E111" s="8"/>
      <c r="F111" s="9" t="s">
        <v>36</v>
      </c>
      <c r="G111" s="9" t="s">
        <v>37</v>
      </c>
      <c r="H111" s="9" t="s">
        <v>38</v>
      </c>
      <c r="I111" s="9" t="s">
        <v>64</v>
      </c>
      <c r="J111" s="9" t="s">
        <v>65</v>
      </c>
      <c r="K111" s="9" t="s">
        <v>41</v>
      </c>
      <c r="L111" s="9" t="s">
        <v>42</v>
      </c>
      <c r="M111" s="9" t="s">
        <v>43</v>
      </c>
      <c r="N111" s="9" t="s">
        <v>49</v>
      </c>
      <c r="O111" s="9" t="s">
        <v>57</v>
      </c>
      <c r="P111" s="9" t="s">
        <v>76</v>
      </c>
      <c r="Q111" s="9" t="s">
        <v>81</v>
      </c>
      <c r="R111" s="9" t="s">
        <v>42</v>
      </c>
      <c r="S111" s="9" t="s">
        <v>47</v>
      </c>
      <c r="T111" s="9" t="s">
        <v>48</v>
      </c>
      <c r="U111" s="9" t="s">
        <v>44</v>
      </c>
      <c r="V111" s="9" t="s">
        <v>49</v>
      </c>
      <c r="W111" s="9" t="s">
        <v>48</v>
      </c>
      <c r="X111" s="9" t="s">
        <v>59</v>
      </c>
      <c r="Y111" s="9" t="s">
        <v>48</v>
      </c>
      <c r="Z111" s="9" t="s">
        <v>50</v>
      </c>
      <c r="AA111" s="9" t="s">
        <v>51</v>
      </c>
      <c r="AB111" s="9" t="s">
        <v>42</v>
      </c>
      <c r="AC111" s="8" t="s">
        <v>235</v>
      </c>
      <c r="AD111" s="9" t="s">
        <v>76</v>
      </c>
      <c r="AE111" s="9" t="s">
        <v>49</v>
      </c>
      <c r="AF111" s="9" t="s">
        <v>236</v>
      </c>
      <c r="AG111" s="9" t="s">
        <v>54</v>
      </c>
      <c r="AH111" s="7" t="n">
        <f aca="false">(O111='Labeling Rules'!$C$6)*'Labeling Rules'!$D$6+(Q111='Labeling Rules'!$C$7)*'Labeling Rules'!$D$7+(R111='Labeling Rules'!$C$8)*'Labeling Rules'!$D$8+(R111='Labeling Rules'!$C$9)*'Labeling Rules'!$D$9+(P111='Labeling Rules'!$C$10)*'Labeling Rules'!$D$10+(M111='Labeling Rules'!$C$11)*'Labeling Rules'!$D$11+(T111='Labeling Rules'!$C$12)*'Labeling Rules'!$D$12+(U111='Labeling Rules'!$C$13)*'Labeling Rules'!$D$13+(W111='Labeling Rules'!$C$14)*'Labeling Rules'!$D$14+(Y111='Labeling Rules'!$C$15)*'Labeling Rules'!$D$15</f>
        <v>4</v>
      </c>
      <c r="AI111" s="7" t="n">
        <f aca="false">IF(AH111&gt;='Labeling Rules'!$D$17,1,0)</f>
        <v>0</v>
      </c>
    </row>
    <row r="112" customFormat="false" ht="14.25" hidden="false" customHeight="false" outlineLevel="0" collapsed="false">
      <c r="A112" s="0" t="n">
        <v>111</v>
      </c>
      <c r="B112" s="6" t="n">
        <v>46159.8743171296</v>
      </c>
      <c r="C112" s="6" t="n">
        <v>46159.876712963</v>
      </c>
      <c r="D112" s="8" t="s">
        <v>35</v>
      </c>
      <c r="E112" s="8"/>
      <c r="F112" s="9" t="s">
        <v>36</v>
      </c>
      <c r="G112" s="9" t="s">
        <v>37</v>
      </c>
      <c r="H112" s="9" t="s">
        <v>38</v>
      </c>
      <c r="I112" s="9" t="s">
        <v>64</v>
      </c>
      <c r="J112" s="9" t="s">
        <v>40</v>
      </c>
      <c r="K112" s="9" t="s">
        <v>41</v>
      </c>
      <c r="L112" s="9" t="s">
        <v>42</v>
      </c>
      <c r="M112" s="9" t="s">
        <v>49</v>
      </c>
      <c r="N112" s="9" t="s">
        <v>43</v>
      </c>
      <c r="O112" s="9" t="s">
        <v>66</v>
      </c>
      <c r="P112" s="9" t="s">
        <v>42</v>
      </c>
      <c r="Q112" s="9" t="s">
        <v>58</v>
      </c>
      <c r="R112" s="9" t="s">
        <v>42</v>
      </c>
      <c r="S112" s="9" t="s">
        <v>47</v>
      </c>
      <c r="T112" s="9" t="s">
        <v>48</v>
      </c>
      <c r="U112" s="9" t="s">
        <v>49</v>
      </c>
      <c r="V112" s="9" t="s">
        <v>82</v>
      </c>
      <c r="W112" s="9" t="s">
        <v>48</v>
      </c>
      <c r="X112" s="9" t="s">
        <v>76</v>
      </c>
      <c r="Y112" s="9" t="s">
        <v>48</v>
      </c>
      <c r="Z112" s="9" t="s">
        <v>50</v>
      </c>
      <c r="AA112" s="9" t="s">
        <v>51</v>
      </c>
      <c r="AB112" s="9" t="s">
        <v>49</v>
      </c>
      <c r="AC112" s="8" t="s">
        <v>228</v>
      </c>
      <c r="AD112" s="9" t="s">
        <v>42</v>
      </c>
      <c r="AE112" s="9" t="s">
        <v>49</v>
      </c>
      <c r="AF112" s="9" t="s">
        <v>237</v>
      </c>
      <c r="AG112" s="9" t="s">
        <v>109</v>
      </c>
      <c r="AH112" s="7" t="n">
        <f aca="false">(O112='Labeling Rules'!$C$6)*'Labeling Rules'!$D$6+(Q112='Labeling Rules'!$C$7)*'Labeling Rules'!$D$7+(R112='Labeling Rules'!$C$8)*'Labeling Rules'!$D$8+(R112='Labeling Rules'!$C$9)*'Labeling Rules'!$D$9+(P112='Labeling Rules'!$C$10)*'Labeling Rules'!$D$10+(M112='Labeling Rules'!$C$11)*'Labeling Rules'!$D$11+(T112='Labeling Rules'!$C$12)*'Labeling Rules'!$D$12+(U112='Labeling Rules'!$C$13)*'Labeling Rules'!$D$13+(W112='Labeling Rules'!$C$14)*'Labeling Rules'!$D$14+(Y112='Labeling Rules'!$C$15)*'Labeling Rules'!$D$15</f>
        <v>2</v>
      </c>
      <c r="AI112" s="7" t="n">
        <f aca="false">IF(AH112&gt;='Labeling Rules'!$D$17,1,0)</f>
        <v>0</v>
      </c>
    </row>
    <row r="113" customFormat="false" ht="14.25" hidden="false" customHeight="false" outlineLevel="0" collapsed="false">
      <c r="A113" s="0" t="n">
        <v>112</v>
      </c>
      <c r="B113" s="6" t="n">
        <v>46159.9049421296</v>
      </c>
      <c r="C113" s="6" t="n">
        <v>46159.9072685185</v>
      </c>
      <c r="D113" s="8" t="s">
        <v>35</v>
      </c>
      <c r="E113" s="8"/>
      <c r="F113" s="9" t="s">
        <v>36</v>
      </c>
      <c r="G113" s="9" t="s">
        <v>37</v>
      </c>
      <c r="H113" s="9" t="s">
        <v>38</v>
      </c>
      <c r="I113" s="9" t="s">
        <v>39</v>
      </c>
      <c r="J113" s="9" t="s">
        <v>65</v>
      </c>
      <c r="K113" s="9" t="s">
        <v>41</v>
      </c>
      <c r="L113" s="9" t="s">
        <v>42</v>
      </c>
      <c r="M113" s="9" t="s">
        <v>43</v>
      </c>
      <c r="N113" s="9" t="s">
        <v>49</v>
      </c>
      <c r="O113" s="9" t="s">
        <v>45</v>
      </c>
      <c r="P113" s="9" t="s">
        <v>42</v>
      </c>
      <c r="Q113" s="9" t="s">
        <v>58</v>
      </c>
      <c r="R113" s="9" t="s">
        <v>49</v>
      </c>
      <c r="S113" s="9" t="s">
        <v>47</v>
      </c>
      <c r="T113" s="9" t="s">
        <v>48</v>
      </c>
      <c r="U113" s="9" t="s">
        <v>44</v>
      </c>
      <c r="V113" s="9" t="s">
        <v>82</v>
      </c>
      <c r="W113" s="9" t="s">
        <v>48</v>
      </c>
      <c r="X113" s="9" t="s">
        <v>59</v>
      </c>
      <c r="Y113" s="9" t="s">
        <v>48</v>
      </c>
      <c r="Z113" s="9" t="s">
        <v>50</v>
      </c>
      <c r="AA113" s="9" t="s">
        <v>77</v>
      </c>
      <c r="AB113" s="9" t="s">
        <v>49</v>
      </c>
      <c r="AC113" s="8" t="s">
        <v>238</v>
      </c>
      <c r="AD113" s="9" t="s">
        <v>42</v>
      </c>
      <c r="AE113" s="9" t="s">
        <v>74</v>
      </c>
      <c r="AF113" s="8" t="s">
        <v>62</v>
      </c>
      <c r="AG113" s="9" t="s">
        <v>48</v>
      </c>
      <c r="AH113" s="7" t="n">
        <f aca="false">(O113='Labeling Rules'!$C$6)*'Labeling Rules'!$D$6+(Q113='Labeling Rules'!$C$7)*'Labeling Rules'!$D$7+(R113='Labeling Rules'!$C$8)*'Labeling Rules'!$D$8+(R113='Labeling Rules'!$C$9)*'Labeling Rules'!$D$9+(P113='Labeling Rules'!$C$10)*'Labeling Rules'!$D$10+(M113='Labeling Rules'!$C$11)*'Labeling Rules'!$D$11+(T113='Labeling Rules'!$C$12)*'Labeling Rules'!$D$12+(U113='Labeling Rules'!$C$13)*'Labeling Rules'!$D$13+(W113='Labeling Rules'!$C$14)*'Labeling Rules'!$D$14+(Y113='Labeling Rules'!$C$15)*'Labeling Rules'!$D$15</f>
        <v>3</v>
      </c>
      <c r="AI113" s="7" t="n">
        <f aca="false">IF(AH113&gt;='Labeling Rules'!$D$17,1,0)</f>
        <v>0</v>
      </c>
    </row>
    <row r="114" customFormat="false" ht="14.25" hidden="false" customHeight="false" outlineLevel="0" collapsed="false">
      <c r="A114" s="0" t="n">
        <v>113</v>
      </c>
      <c r="B114" s="6" t="n">
        <v>46159.9044907407</v>
      </c>
      <c r="C114" s="6" t="n">
        <v>46159.9084027778</v>
      </c>
      <c r="D114" s="8" t="s">
        <v>35</v>
      </c>
      <c r="E114" s="8"/>
      <c r="F114" s="9" t="s">
        <v>36</v>
      </c>
      <c r="G114" s="9" t="s">
        <v>37</v>
      </c>
      <c r="H114" s="9" t="s">
        <v>38</v>
      </c>
      <c r="I114" s="9" t="s">
        <v>55</v>
      </c>
      <c r="J114" s="9" t="s">
        <v>150</v>
      </c>
      <c r="K114" s="9" t="s">
        <v>41</v>
      </c>
      <c r="L114" s="9" t="s">
        <v>42</v>
      </c>
      <c r="M114" s="9" t="s">
        <v>49</v>
      </c>
      <c r="N114" s="9" t="s">
        <v>43</v>
      </c>
      <c r="O114" s="9" t="s">
        <v>57</v>
      </c>
      <c r="P114" s="9" t="s">
        <v>76</v>
      </c>
      <c r="Q114" s="9" t="s">
        <v>46</v>
      </c>
      <c r="R114" s="9" t="s">
        <v>49</v>
      </c>
      <c r="S114" s="9" t="s">
        <v>48</v>
      </c>
      <c r="T114" s="9" t="s">
        <v>42</v>
      </c>
      <c r="U114" s="9" t="s">
        <v>48</v>
      </c>
      <c r="V114" s="9" t="s">
        <v>49</v>
      </c>
      <c r="W114" s="9" t="s">
        <v>48</v>
      </c>
      <c r="X114" s="9" t="s">
        <v>59</v>
      </c>
      <c r="Y114" s="9" t="s">
        <v>48</v>
      </c>
      <c r="Z114" s="9" t="s">
        <v>50</v>
      </c>
      <c r="AA114" s="9" t="s">
        <v>77</v>
      </c>
      <c r="AB114" s="9" t="s">
        <v>49</v>
      </c>
      <c r="AC114" s="8" t="s">
        <v>235</v>
      </c>
      <c r="AD114" s="9" t="s">
        <v>76</v>
      </c>
      <c r="AE114" s="9" t="s">
        <v>44</v>
      </c>
      <c r="AF114" s="9" t="s">
        <v>239</v>
      </c>
      <c r="AG114" s="9" t="s">
        <v>48</v>
      </c>
      <c r="AH114" s="7" t="n">
        <f aca="false">(O114='Labeling Rules'!$C$6)*'Labeling Rules'!$D$6+(Q114='Labeling Rules'!$C$7)*'Labeling Rules'!$D$7+(R114='Labeling Rules'!$C$8)*'Labeling Rules'!$D$8+(R114='Labeling Rules'!$C$9)*'Labeling Rules'!$D$9+(P114='Labeling Rules'!$C$10)*'Labeling Rules'!$D$10+(M114='Labeling Rules'!$C$11)*'Labeling Rules'!$D$11+(T114='Labeling Rules'!$C$12)*'Labeling Rules'!$D$12+(U114='Labeling Rules'!$C$13)*'Labeling Rules'!$D$13+(W114='Labeling Rules'!$C$14)*'Labeling Rules'!$D$14+(Y114='Labeling Rules'!$C$15)*'Labeling Rules'!$D$15</f>
        <v>3</v>
      </c>
      <c r="AI114" s="7" t="n">
        <f aca="false">IF(AH114&gt;='Labeling Rules'!$D$17,1,0)</f>
        <v>0</v>
      </c>
    </row>
    <row r="115" customFormat="false" ht="14.25" hidden="false" customHeight="false" outlineLevel="0" collapsed="false">
      <c r="A115" s="0" t="n">
        <v>114</v>
      </c>
      <c r="B115" s="6" t="n">
        <v>46159.9147337963</v>
      </c>
      <c r="C115" s="6" t="n">
        <v>46159.9180324074</v>
      </c>
      <c r="D115" s="8" t="s">
        <v>35</v>
      </c>
      <c r="E115" s="8"/>
      <c r="F115" s="9" t="s">
        <v>36</v>
      </c>
      <c r="G115" s="9" t="s">
        <v>73</v>
      </c>
      <c r="H115" s="9" t="s">
        <v>38</v>
      </c>
      <c r="I115" s="9" t="s">
        <v>80</v>
      </c>
      <c r="J115" s="9" t="s">
        <v>56</v>
      </c>
      <c r="K115" s="9" t="s">
        <v>97</v>
      </c>
      <c r="L115" s="9" t="s">
        <v>42</v>
      </c>
      <c r="M115" s="9" t="s">
        <v>49</v>
      </c>
      <c r="N115" s="9" t="s">
        <v>49</v>
      </c>
      <c r="O115" s="9" t="s">
        <v>66</v>
      </c>
      <c r="P115" s="9" t="s">
        <v>76</v>
      </c>
      <c r="Q115" s="9" t="s">
        <v>46</v>
      </c>
      <c r="R115" s="9" t="s">
        <v>48</v>
      </c>
      <c r="S115" s="9" t="s">
        <v>47</v>
      </c>
      <c r="T115" s="9" t="s">
        <v>42</v>
      </c>
      <c r="U115" s="9" t="s">
        <v>49</v>
      </c>
      <c r="V115" s="9" t="s">
        <v>49</v>
      </c>
      <c r="W115" s="9" t="s">
        <v>48</v>
      </c>
      <c r="X115" s="9" t="s">
        <v>76</v>
      </c>
      <c r="Y115" s="9" t="s">
        <v>42</v>
      </c>
      <c r="Z115" s="9" t="s">
        <v>42</v>
      </c>
      <c r="AA115" s="9" t="s">
        <v>67</v>
      </c>
      <c r="AB115" s="9" t="s">
        <v>49</v>
      </c>
      <c r="AC115" s="8" t="s">
        <v>235</v>
      </c>
      <c r="AD115" s="9" t="s">
        <v>42</v>
      </c>
      <c r="AE115" s="9" t="s">
        <v>49</v>
      </c>
      <c r="AF115" s="9" t="s">
        <v>240</v>
      </c>
      <c r="AG115" s="8" t="s">
        <v>62</v>
      </c>
      <c r="AH115" s="7" t="n">
        <f aca="false">(O115='Labeling Rules'!$C$6)*'Labeling Rules'!$D$6+(Q115='Labeling Rules'!$C$7)*'Labeling Rules'!$D$7+(R115='Labeling Rules'!$C$8)*'Labeling Rules'!$D$8+(R115='Labeling Rules'!$C$9)*'Labeling Rules'!$D$9+(P115='Labeling Rules'!$C$10)*'Labeling Rules'!$D$10+(M115='Labeling Rules'!$C$11)*'Labeling Rules'!$D$11+(T115='Labeling Rules'!$C$12)*'Labeling Rules'!$D$12+(U115='Labeling Rules'!$C$13)*'Labeling Rules'!$D$13+(W115='Labeling Rules'!$C$14)*'Labeling Rules'!$D$14+(Y115='Labeling Rules'!$C$15)*'Labeling Rules'!$D$15</f>
        <v>2</v>
      </c>
      <c r="AI115" s="7" t="n">
        <f aca="false">IF(AH115&gt;='Labeling Rules'!$D$17,1,0)</f>
        <v>0</v>
      </c>
    </row>
    <row r="116" customFormat="false" ht="14.25" hidden="false" customHeight="false" outlineLevel="0" collapsed="false">
      <c r="A116" s="0" t="n">
        <v>115</v>
      </c>
      <c r="B116" s="6" t="n">
        <v>46159.9227662037</v>
      </c>
      <c r="C116" s="6" t="n">
        <v>46159.9238078704</v>
      </c>
      <c r="D116" s="8" t="s">
        <v>35</v>
      </c>
      <c r="E116" s="8"/>
      <c r="F116" s="9" t="s">
        <v>36</v>
      </c>
      <c r="G116" s="9" t="s">
        <v>69</v>
      </c>
      <c r="H116" s="9" t="s">
        <v>38</v>
      </c>
      <c r="I116" s="9" t="s">
        <v>80</v>
      </c>
      <c r="J116" s="9" t="s">
        <v>56</v>
      </c>
      <c r="K116" s="9" t="s">
        <v>97</v>
      </c>
      <c r="L116" s="9" t="s">
        <v>42</v>
      </c>
      <c r="M116" s="9" t="s">
        <v>43</v>
      </c>
      <c r="N116" s="9" t="s">
        <v>49</v>
      </c>
      <c r="O116" s="9" t="s">
        <v>66</v>
      </c>
      <c r="P116" s="9" t="s">
        <v>42</v>
      </c>
      <c r="Q116" s="9" t="s">
        <v>58</v>
      </c>
      <c r="R116" s="9" t="s">
        <v>42</v>
      </c>
      <c r="S116" s="9" t="s">
        <v>42</v>
      </c>
      <c r="T116" s="9" t="s">
        <v>42</v>
      </c>
      <c r="U116" s="9" t="s">
        <v>44</v>
      </c>
      <c r="V116" s="9" t="s">
        <v>49</v>
      </c>
      <c r="W116" s="9" t="s">
        <v>42</v>
      </c>
      <c r="X116" s="9" t="s">
        <v>59</v>
      </c>
      <c r="Y116" s="9" t="s">
        <v>42</v>
      </c>
      <c r="Z116" s="9" t="s">
        <v>83</v>
      </c>
      <c r="AA116" s="9" t="s">
        <v>77</v>
      </c>
      <c r="AB116" s="9" t="s">
        <v>42</v>
      </c>
      <c r="AC116" s="8" t="s">
        <v>235</v>
      </c>
      <c r="AD116" s="9" t="s">
        <v>42</v>
      </c>
      <c r="AE116" s="9" t="s">
        <v>44</v>
      </c>
      <c r="AF116" s="8" t="s">
        <v>241</v>
      </c>
      <c r="AG116" s="8" t="s">
        <v>241</v>
      </c>
      <c r="AH116" s="7" t="n">
        <f aca="false">(O116='Labeling Rules'!$C$6)*'Labeling Rules'!$D$6+(Q116='Labeling Rules'!$C$7)*'Labeling Rules'!$D$7+(R116='Labeling Rules'!$C$8)*'Labeling Rules'!$D$8+(R116='Labeling Rules'!$C$9)*'Labeling Rules'!$D$9+(P116='Labeling Rules'!$C$10)*'Labeling Rules'!$D$10+(M116='Labeling Rules'!$C$11)*'Labeling Rules'!$D$11+(T116='Labeling Rules'!$C$12)*'Labeling Rules'!$D$12+(U116='Labeling Rules'!$C$13)*'Labeling Rules'!$D$13+(W116='Labeling Rules'!$C$14)*'Labeling Rules'!$D$14+(Y116='Labeling Rules'!$C$15)*'Labeling Rules'!$D$15</f>
        <v>5</v>
      </c>
      <c r="AI116" s="7" t="n">
        <f aca="false">IF(AH116&gt;='Labeling Rules'!$D$17,1,0)</f>
        <v>1</v>
      </c>
    </row>
    <row r="117" customFormat="false" ht="14.25" hidden="false" customHeight="false" outlineLevel="0" collapsed="false">
      <c r="A117" s="0" t="n">
        <v>116</v>
      </c>
      <c r="B117" s="6" t="n">
        <v>46159.9323263889</v>
      </c>
      <c r="C117" s="6" t="n">
        <v>46159.9349189815</v>
      </c>
      <c r="D117" s="8" t="s">
        <v>35</v>
      </c>
      <c r="E117" s="8"/>
      <c r="F117" s="9" t="s">
        <v>36</v>
      </c>
      <c r="G117" s="9" t="s">
        <v>73</v>
      </c>
      <c r="H117" s="9" t="s">
        <v>38</v>
      </c>
      <c r="I117" s="9" t="s">
        <v>80</v>
      </c>
      <c r="J117" s="9" t="s">
        <v>56</v>
      </c>
      <c r="K117" s="9" t="s">
        <v>97</v>
      </c>
      <c r="L117" s="9" t="s">
        <v>42</v>
      </c>
      <c r="M117" s="9" t="s">
        <v>43</v>
      </c>
      <c r="N117" s="9" t="s">
        <v>74</v>
      </c>
      <c r="O117" s="9" t="s">
        <v>66</v>
      </c>
      <c r="P117" s="9" t="s">
        <v>76</v>
      </c>
      <c r="Q117" s="9" t="s">
        <v>58</v>
      </c>
      <c r="R117" s="9" t="s">
        <v>49</v>
      </c>
      <c r="S117" s="9" t="s">
        <v>47</v>
      </c>
      <c r="T117" s="9" t="s">
        <v>42</v>
      </c>
      <c r="U117" s="9" t="s">
        <v>44</v>
      </c>
      <c r="V117" s="9" t="s">
        <v>49</v>
      </c>
      <c r="W117" s="9" t="s">
        <v>48</v>
      </c>
      <c r="X117" s="9" t="s">
        <v>59</v>
      </c>
      <c r="Y117" s="9" t="s">
        <v>48</v>
      </c>
      <c r="Z117" s="9" t="s">
        <v>50</v>
      </c>
      <c r="AA117" s="9" t="s">
        <v>51</v>
      </c>
      <c r="AB117" s="9" t="s">
        <v>49</v>
      </c>
      <c r="AC117" s="8" t="s">
        <v>221</v>
      </c>
      <c r="AD117" s="9" t="s">
        <v>42</v>
      </c>
      <c r="AE117" s="9" t="s">
        <v>49</v>
      </c>
      <c r="AF117" s="9" t="s">
        <v>242</v>
      </c>
      <c r="AG117" s="9" t="s">
        <v>42</v>
      </c>
      <c r="AH117" s="7" t="n">
        <f aca="false">(O117='Labeling Rules'!$C$6)*'Labeling Rules'!$D$6+(Q117='Labeling Rules'!$C$7)*'Labeling Rules'!$D$7+(R117='Labeling Rules'!$C$8)*'Labeling Rules'!$D$8+(R117='Labeling Rules'!$C$9)*'Labeling Rules'!$D$9+(P117='Labeling Rules'!$C$10)*'Labeling Rules'!$D$10+(M117='Labeling Rules'!$C$11)*'Labeling Rules'!$D$11+(T117='Labeling Rules'!$C$12)*'Labeling Rules'!$D$12+(U117='Labeling Rules'!$C$13)*'Labeling Rules'!$D$13+(W117='Labeling Rules'!$C$14)*'Labeling Rules'!$D$14+(Y117='Labeling Rules'!$C$15)*'Labeling Rules'!$D$15</f>
        <v>2</v>
      </c>
      <c r="AI117" s="7" t="n">
        <f aca="false">IF(AH117&gt;='Labeling Rules'!$D$17,1,0)</f>
        <v>0</v>
      </c>
    </row>
    <row r="118" customFormat="false" ht="14.25" hidden="false" customHeight="false" outlineLevel="0" collapsed="false">
      <c r="A118" s="0" t="n">
        <v>117</v>
      </c>
      <c r="B118" s="6" t="n">
        <v>46159.9428587963</v>
      </c>
      <c r="C118" s="6" t="n">
        <v>46159.9483680556</v>
      </c>
      <c r="D118" s="8" t="s">
        <v>35</v>
      </c>
      <c r="E118" s="8"/>
      <c r="F118" s="9" t="s">
        <v>36</v>
      </c>
      <c r="G118" s="9" t="s">
        <v>37</v>
      </c>
      <c r="H118" s="9" t="s">
        <v>38</v>
      </c>
      <c r="I118" s="9" t="s">
        <v>64</v>
      </c>
      <c r="J118" s="9" t="s">
        <v>65</v>
      </c>
      <c r="K118" s="9" t="s">
        <v>41</v>
      </c>
      <c r="L118" s="9" t="s">
        <v>42</v>
      </c>
      <c r="M118" s="9" t="s">
        <v>43</v>
      </c>
      <c r="N118" s="9" t="s">
        <v>43</v>
      </c>
      <c r="O118" s="9" t="s">
        <v>66</v>
      </c>
      <c r="P118" s="9" t="s">
        <v>76</v>
      </c>
      <c r="Q118" s="9" t="s">
        <v>58</v>
      </c>
      <c r="R118" s="9" t="s">
        <v>49</v>
      </c>
      <c r="S118" s="9" t="s">
        <v>47</v>
      </c>
      <c r="T118" s="9" t="s">
        <v>42</v>
      </c>
      <c r="U118" s="9" t="s">
        <v>44</v>
      </c>
      <c r="V118" s="9" t="s">
        <v>49</v>
      </c>
      <c r="W118" s="9" t="s">
        <v>48</v>
      </c>
      <c r="X118" s="9" t="s">
        <v>59</v>
      </c>
      <c r="Y118" s="9" t="s">
        <v>48</v>
      </c>
      <c r="Z118" s="9" t="s">
        <v>50</v>
      </c>
      <c r="AA118" s="9" t="s">
        <v>77</v>
      </c>
      <c r="AB118" s="9" t="s">
        <v>42</v>
      </c>
      <c r="AC118" s="8" t="s">
        <v>243</v>
      </c>
      <c r="AD118" s="9" t="s">
        <v>76</v>
      </c>
      <c r="AE118" s="9" t="s">
        <v>49</v>
      </c>
      <c r="AF118" s="9" t="s">
        <v>244</v>
      </c>
      <c r="AG118" s="9" t="s">
        <v>109</v>
      </c>
      <c r="AH118" s="7" t="n">
        <f aca="false">(O118='Labeling Rules'!$C$6)*'Labeling Rules'!$D$6+(Q118='Labeling Rules'!$C$7)*'Labeling Rules'!$D$7+(R118='Labeling Rules'!$C$8)*'Labeling Rules'!$D$8+(R118='Labeling Rules'!$C$9)*'Labeling Rules'!$D$9+(P118='Labeling Rules'!$C$10)*'Labeling Rules'!$D$10+(M118='Labeling Rules'!$C$11)*'Labeling Rules'!$D$11+(T118='Labeling Rules'!$C$12)*'Labeling Rules'!$D$12+(U118='Labeling Rules'!$C$13)*'Labeling Rules'!$D$13+(W118='Labeling Rules'!$C$14)*'Labeling Rules'!$D$14+(Y118='Labeling Rules'!$C$15)*'Labeling Rules'!$D$15</f>
        <v>2</v>
      </c>
      <c r="AI118" s="7" t="n">
        <f aca="false">IF(AH118&gt;='Labeling Rules'!$D$17,1,0)</f>
        <v>0</v>
      </c>
    </row>
    <row r="119" customFormat="false" ht="14.25" hidden="false" customHeight="false" outlineLevel="0" collapsed="false">
      <c r="A119" s="0" t="n">
        <v>118</v>
      </c>
      <c r="B119" s="6" t="n">
        <v>46159.9569212963</v>
      </c>
      <c r="C119" s="6" t="n">
        <v>46159.9609027778</v>
      </c>
      <c r="D119" s="8" t="s">
        <v>35</v>
      </c>
      <c r="E119" s="8"/>
      <c r="F119" s="9" t="s">
        <v>36</v>
      </c>
      <c r="G119" s="9" t="s">
        <v>37</v>
      </c>
      <c r="H119" s="9" t="s">
        <v>38</v>
      </c>
      <c r="I119" s="9" t="s">
        <v>64</v>
      </c>
      <c r="J119" s="9" t="s">
        <v>65</v>
      </c>
      <c r="K119" s="9" t="s">
        <v>41</v>
      </c>
      <c r="L119" s="9" t="s">
        <v>42</v>
      </c>
      <c r="M119" s="9" t="s">
        <v>74</v>
      </c>
      <c r="N119" s="9" t="s">
        <v>43</v>
      </c>
      <c r="O119" s="9" t="s">
        <v>45</v>
      </c>
      <c r="P119" s="9" t="s">
        <v>42</v>
      </c>
      <c r="Q119" s="9" t="s">
        <v>58</v>
      </c>
      <c r="R119" s="9" t="s">
        <v>49</v>
      </c>
      <c r="S119" s="9" t="s">
        <v>47</v>
      </c>
      <c r="T119" s="9" t="s">
        <v>48</v>
      </c>
      <c r="U119" s="9" t="s">
        <v>49</v>
      </c>
      <c r="V119" s="9" t="s">
        <v>49</v>
      </c>
      <c r="W119" s="9" t="s">
        <v>48</v>
      </c>
      <c r="X119" s="9" t="s">
        <v>59</v>
      </c>
      <c r="Y119" s="9" t="s">
        <v>42</v>
      </c>
      <c r="Z119" s="9" t="s">
        <v>83</v>
      </c>
      <c r="AA119" s="9" t="s">
        <v>77</v>
      </c>
      <c r="AB119" s="9" t="s">
        <v>49</v>
      </c>
      <c r="AC119" s="8" t="s">
        <v>235</v>
      </c>
      <c r="AD119" s="9" t="s">
        <v>76</v>
      </c>
      <c r="AE119" s="9" t="s">
        <v>49</v>
      </c>
      <c r="AF119" s="8" t="s">
        <v>62</v>
      </c>
      <c r="AG119" s="9" t="s">
        <v>48</v>
      </c>
      <c r="AH119" s="7" t="n">
        <f aca="false">(O119='Labeling Rules'!$C$6)*'Labeling Rules'!$D$6+(Q119='Labeling Rules'!$C$7)*'Labeling Rules'!$D$7+(R119='Labeling Rules'!$C$8)*'Labeling Rules'!$D$8+(R119='Labeling Rules'!$C$9)*'Labeling Rules'!$D$9+(P119='Labeling Rules'!$C$10)*'Labeling Rules'!$D$10+(M119='Labeling Rules'!$C$11)*'Labeling Rules'!$D$11+(T119='Labeling Rules'!$C$12)*'Labeling Rules'!$D$12+(U119='Labeling Rules'!$C$13)*'Labeling Rules'!$D$13+(W119='Labeling Rules'!$C$14)*'Labeling Rules'!$D$14+(Y119='Labeling Rules'!$C$15)*'Labeling Rules'!$D$15</f>
        <v>4</v>
      </c>
      <c r="AI119" s="7" t="n">
        <f aca="false">IF(AH119&gt;='Labeling Rules'!$D$17,1,0)</f>
        <v>0</v>
      </c>
    </row>
    <row r="120" customFormat="false" ht="14.25" hidden="false" customHeight="false" outlineLevel="0" collapsed="false">
      <c r="A120" s="0" t="n">
        <v>119</v>
      </c>
      <c r="B120" s="6" t="n">
        <v>46159.9673032407</v>
      </c>
      <c r="C120" s="6" t="n">
        <v>46159.9688657407</v>
      </c>
      <c r="D120" s="8" t="s">
        <v>35</v>
      </c>
      <c r="E120" s="8"/>
      <c r="F120" s="9" t="s">
        <v>63</v>
      </c>
      <c r="G120" s="9" t="s">
        <v>37</v>
      </c>
      <c r="H120" s="9" t="s">
        <v>38</v>
      </c>
      <c r="I120" s="9" t="s">
        <v>64</v>
      </c>
      <c r="J120" s="9" t="s">
        <v>56</v>
      </c>
      <c r="K120" s="9" t="s">
        <v>41</v>
      </c>
      <c r="L120" s="9" t="s">
        <v>42</v>
      </c>
      <c r="M120" s="9" t="s">
        <v>43</v>
      </c>
      <c r="N120" s="9" t="s">
        <v>43</v>
      </c>
      <c r="O120" s="9" t="s">
        <v>57</v>
      </c>
      <c r="P120" s="9" t="s">
        <v>76</v>
      </c>
      <c r="Q120" s="9" t="s">
        <v>46</v>
      </c>
      <c r="R120" s="9" t="s">
        <v>42</v>
      </c>
      <c r="S120" s="9" t="s">
        <v>48</v>
      </c>
      <c r="T120" s="9" t="s">
        <v>48</v>
      </c>
      <c r="U120" s="9" t="s">
        <v>49</v>
      </c>
      <c r="V120" s="9" t="s">
        <v>82</v>
      </c>
      <c r="W120" s="9" t="s">
        <v>48</v>
      </c>
      <c r="X120" s="9" t="s">
        <v>59</v>
      </c>
      <c r="Y120" s="9" t="s">
        <v>48</v>
      </c>
      <c r="Z120" s="9" t="s">
        <v>50</v>
      </c>
      <c r="AA120" s="9" t="s">
        <v>67</v>
      </c>
      <c r="AB120" s="9" t="s">
        <v>48</v>
      </c>
      <c r="AC120" s="8" t="s">
        <v>245</v>
      </c>
      <c r="AD120" s="9" t="s">
        <v>48</v>
      </c>
      <c r="AE120" s="9" t="s">
        <v>49</v>
      </c>
      <c r="AF120" s="9" t="s">
        <v>246</v>
      </c>
      <c r="AG120" s="9" t="s">
        <v>48</v>
      </c>
      <c r="AH120" s="7" t="n">
        <f aca="false">(O120='Labeling Rules'!$C$6)*'Labeling Rules'!$D$6+(Q120='Labeling Rules'!$C$7)*'Labeling Rules'!$D$7+(R120='Labeling Rules'!$C$8)*'Labeling Rules'!$D$8+(R120='Labeling Rules'!$C$9)*'Labeling Rules'!$D$9+(P120='Labeling Rules'!$C$10)*'Labeling Rules'!$D$10+(M120='Labeling Rules'!$C$11)*'Labeling Rules'!$D$11+(T120='Labeling Rules'!$C$12)*'Labeling Rules'!$D$12+(U120='Labeling Rules'!$C$13)*'Labeling Rules'!$D$13+(W120='Labeling Rules'!$C$14)*'Labeling Rules'!$D$14+(Y120='Labeling Rules'!$C$15)*'Labeling Rules'!$D$15</f>
        <v>2</v>
      </c>
      <c r="AI120" s="7" t="n">
        <f aca="false">IF(AH120&gt;='Labeling Rules'!$D$17,1,0)</f>
        <v>0</v>
      </c>
    </row>
    <row r="121" customFormat="false" ht="14.25" hidden="false" customHeight="false" outlineLevel="0" collapsed="false">
      <c r="A121" s="0" t="n">
        <v>120</v>
      </c>
      <c r="B121" s="6" t="n">
        <v>46159.9870717593</v>
      </c>
      <c r="C121" s="6" t="n">
        <v>46159.9903356481</v>
      </c>
      <c r="D121" s="8" t="s">
        <v>35</v>
      </c>
      <c r="E121" s="8"/>
      <c r="F121" s="9" t="s">
        <v>36</v>
      </c>
      <c r="G121" s="9" t="s">
        <v>37</v>
      </c>
      <c r="H121" s="9" t="s">
        <v>38</v>
      </c>
      <c r="I121" s="9" t="s">
        <v>64</v>
      </c>
      <c r="J121" s="9" t="s">
        <v>40</v>
      </c>
      <c r="K121" s="9" t="s">
        <v>41</v>
      </c>
      <c r="L121" s="9" t="s">
        <v>42</v>
      </c>
      <c r="M121" s="9" t="s">
        <v>43</v>
      </c>
      <c r="N121" s="9" t="s">
        <v>49</v>
      </c>
      <c r="O121" s="9" t="s">
        <v>66</v>
      </c>
      <c r="P121" s="9" t="s">
        <v>76</v>
      </c>
      <c r="Q121" s="9" t="s">
        <v>58</v>
      </c>
      <c r="R121" s="9" t="s">
        <v>49</v>
      </c>
      <c r="S121" s="9" t="s">
        <v>47</v>
      </c>
      <c r="T121" s="9" t="s">
        <v>42</v>
      </c>
      <c r="U121" s="9" t="s">
        <v>44</v>
      </c>
      <c r="V121" s="9" t="s">
        <v>82</v>
      </c>
      <c r="W121" s="9" t="s">
        <v>48</v>
      </c>
      <c r="X121" s="9" t="s">
        <v>59</v>
      </c>
      <c r="Y121" s="9" t="s">
        <v>48</v>
      </c>
      <c r="Z121" s="9" t="s">
        <v>50</v>
      </c>
      <c r="AA121" s="9" t="s">
        <v>51</v>
      </c>
      <c r="AB121" s="9" t="s">
        <v>49</v>
      </c>
      <c r="AC121" s="8" t="s">
        <v>247</v>
      </c>
      <c r="AD121" s="9" t="s">
        <v>76</v>
      </c>
      <c r="AE121" s="9" t="s">
        <v>49</v>
      </c>
      <c r="AF121" s="9" t="s">
        <v>248</v>
      </c>
      <c r="AG121" s="9" t="s">
        <v>109</v>
      </c>
      <c r="AH121" s="7" t="n">
        <f aca="false">(O121='Labeling Rules'!$C$6)*'Labeling Rules'!$D$6+(Q121='Labeling Rules'!$C$7)*'Labeling Rules'!$D$7+(R121='Labeling Rules'!$C$8)*'Labeling Rules'!$D$8+(R121='Labeling Rules'!$C$9)*'Labeling Rules'!$D$9+(P121='Labeling Rules'!$C$10)*'Labeling Rules'!$D$10+(M121='Labeling Rules'!$C$11)*'Labeling Rules'!$D$11+(T121='Labeling Rules'!$C$12)*'Labeling Rules'!$D$12+(U121='Labeling Rules'!$C$13)*'Labeling Rules'!$D$13+(W121='Labeling Rules'!$C$14)*'Labeling Rules'!$D$14+(Y121='Labeling Rules'!$C$15)*'Labeling Rules'!$D$15</f>
        <v>2</v>
      </c>
      <c r="AI121" s="7" t="n">
        <f aca="false">IF(AH121&gt;='Labeling Rules'!$D$17,1,0)</f>
        <v>0</v>
      </c>
    </row>
    <row r="122" customFormat="false" ht="14.25" hidden="false" customHeight="false" outlineLevel="0" collapsed="false">
      <c r="A122" s="0" t="n">
        <v>121</v>
      </c>
      <c r="B122" s="6" t="n">
        <v>46160.0053356482</v>
      </c>
      <c r="C122" s="6" t="n">
        <v>46160.0076273148</v>
      </c>
      <c r="D122" s="8" t="s">
        <v>35</v>
      </c>
      <c r="E122" s="8"/>
      <c r="F122" s="9" t="s">
        <v>36</v>
      </c>
      <c r="G122" s="9" t="s">
        <v>37</v>
      </c>
      <c r="H122" s="9" t="s">
        <v>38</v>
      </c>
      <c r="I122" s="9" t="s">
        <v>64</v>
      </c>
      <c r="J122" s="9" t="s">
        <v>56</v>
      </c>
      <c r="K122" s="9" t="s">
        <v>41</v>
      </c>
      <c r="L122" s="9" t="s">
        <v>42</v>
      </c>
      <c r="M122" s="9" t="s">
        <v>43</v>
      </c>
      <c r="N122" s="9" t="s">
        <v>74</v>
      </c>
      <c r="O122" s="9" t="s">
        <v>66</v>
      </c>
      <c r="P122" s="9" t="s">
        <v>76</v>
      </c>
      <c r="Q122" s="9" t="s">
        <v>46</v>
      </c>
      <c r="R122" s="9" t="s">
        <v>48</v>
      </c>
      <c r="S122" s="9" t="s">
        <v>47</v>
      </c>
      <c r="T122" s="9" t="s">
        <v>48</v>
      </c>
      <c r="U122" s="9" t="s">
        <v>44</v>
      </c>
      <c r="V122" s="9" t="s">
        <v>49</v>
      </c>
      <c r="W122" s="9" t="s">
        <v>48</v>
      </c>
      <c r="X122" s="9" t="s">
        <v>48</v>
      </c>
      <c r="Y122" s="9" t="s">
        <v>48</v>
      </c>
      <c r="Z122" s="9" t="s">
        <v>50</v>
      </c>
      <c r="AA122" s="9" t="s">
        <v>67</v>
      </c>
      <c r="AB122" s="9" t="s">
        <v>42</v>
      </c>
      <c r="AC122" s="8" t="s">
        <v>221</v>
      </c>
      <c r="AD122" s="9" t="s">
        <v>76</v>
      </c>
      <c r="AE122" s="9" t="s">
        <v>49</v>
      </c>
      <c r="AF122" s="8" t="s">
        <v>249</v>
      </c>
      <c r="AG122" s="9" t="s">
        <v>250</v>
      </c>
      <c r="AH122" s="7" t="n">
        <f aca="false">(O122='Labeling Rules'!$C$6)*'Labeling Rules'!$D$6+(Q122='Labeling Rules'!$C$7)*'Labeling Rules'!$D$7+(R122='Labeling Rules'!$C$8)*'Labeling Rules'!$D$8+(R122='Labeling Rules'!$C$9)*'Labeling Rules'!$D$9+(P122='Labeling Rules'!$C$10)*'Labeling Rules'!$D$10+(M122='Labeling Rules'!$C$11)*'Labeling Rules'!$D$11+(T122='Labeling Rules'!$C$12)*'Labeling Rules'!$D$12+(U122='Labeling Rules'!$C$13)*'Labeling Rules'!$D$13+(W122='Labeling Rules'!$C$14)*'Labeling Rules'!$D$14+(Y122='Labeling Rules'!$C$15)*'Labeling Rules'!$D$15</f>
        <v>0</v>
      </c>
      <c r="AI122" s="7" t="n">
        <f aca="false">IF(AH122&gt;='Labeling Rules'!$D$17,1,0)</f>
        <v>0</v>
      </c>
    </row>
    <row r="123" customFormat="false" ht="14.25" hidden="false" customHeight="false" outlineLevel="0" collapsed="false">
      <c r="A123" s="0" t="n">
        <v>122</v>
      </c>
      <c r="B123" s="6" t="n">
        <v>46160.0127314815</v>
      </c>
      <c r="C123" s="6" t="n">
        <v>46160.0148263889</v>
      </c>
      <c r="D123" s="8" t="s">
        <v>35</v>
      </c>
      <c r="E123" s="8"/>
      <c r="F123" s="9" t="s">
        <v>36</v>
      </c>
      <c r="G123" s="9" t="s">
        <v>37</v>
      </c>
      <c r="H123" s="9" t="s">
        <v>38</v>
      </c>
      <c r="I123" s="9" t="s">
        <v>64</v>
      </c>
      <c r="J123" s="9" t="s">
        <v>65</v>
      </c>
      <c r="K123" s="9" t="s">
        <v>41</v>
      </c>
      <c r="L123" s="9" t="s">
        <v>42</v>
      </c>
      <c r="M123" s="9" t="s">
        <v>49</v>
      </c>
      <c r="N123" s="9" t="s">
        <v>49</v>
      </c>
      <c r="O123" s="9" t="s">
        <v>45</v>
      </c>
      <c r="P123" s="9" t="s">
        <v>76</v>
      </c>
      <c r="Q123" s="9" t="s">
        <v>81</v>
      </c>
      <c r="R123" s="9" t="s">
        <v>49</v>
      </c>
      <c r="S123" s="9" t="s">
        <v>47</v>
      </c>
      <c r="T123" s="9" t="s">
        <v>48</v>
      </c>
      <c r="U123" s="9" t="s">
        <v>44</v>
      </c>
      <c r="V123" s="9" t="s">
        <v>82</v>
      </c>
      <c r="W123" s="9" t="s">
        <v>48</v>
      </c>
      <c r="X123" s="9" t="s">
        <v>59</v>
      </c>
      <c r="Y123" s="9" t="s">
        <v>42</v>
      </c>
      <c r="Z123" s="9" t="s">
        <v>83</v>
      </c>
      <c r="AA123" s="9" t="s">
        <v>77</v>
      </c>
      <c r="AB123" s="9" t="s">
        <v>49</v>
      </c>
      <c r="AC123" s="8" t="s">
        <v>245</v>
      </c>
      <c r="AD123" s="9" t="s">
        <v>76</v>
      </c>
      <c r="AE123" s="9" t="s">
        <v>44</v>
      </c>
      <c r="AF123" s="9" t="s">
        <v>251</v>
      </c>
      <c r="AG123" s="9" t="s">
        <v>48</v>
      </c>
      <c r="AH123" s="7" t="n">
        <f aca="false">(O123='Labeling Rules'!$C$6)*'Labeling Rules'!$D$6+(Q123='Labeling Rules'!$C$7)*'Labeling Rules'!$D$7+(R123='Labeling Rules'!$C$8)*'Labeling Rules'!$D$8+(R123='Labeling Rules'!$C$9)*'Labeling Rules'!$D$9+(P123='Labeling Rules'!$C$10)*'Labeling Rules'!$D$10+(M123='Labeling Rules'!$C$11)*'Labeling Rules'!$D$11+(T123='Labeling Rules'!$C$12)*'Labeling Rules'!$D$12+(U123='Labeling Rules'!$C$13)*'Labeling Rules'!$D$13+(W123='Labeling Rules'!$C$14)*'Labeling Rules'!$D$14+(Y123='Labeling Rules'!$C$15)*'Labeling Rules'!$D$15</f>
        <v>6</v>
      </c>
      <c r="AI123" s="7" t="n">
        <f aca="false">IF(AH123&gt;='Labeling Rules'!$D$17,1,0)</f>
        <v>1</v>
      </c>
    </row>
    <row r="124" customFormat="false" ht="14.25" hidden="false" customHeight="false" outlineLevel="0" collapsed="false">
      <c r="A124" s="0" t="n">
        <v>123</v>
      </c>
      <c r="B124" s="6" t="n">
        <v>46160.0209837963</v>
      </c>
      <c r="C124" s="6" t="n">
        <v>46160.0233564815</v>
      </c>
      <c r="D124" s="8" t="s">
        <v>35</v>
      </c>
      <c r="E124" s="8"/>
      <c r="F124" s="9" t="s">
        <v>36</v>
      </c>
      <c r="G124" s="9" t="s">
        <v>37</v>
      </c>
      <c r="H124" s="9" t="s">
        <v>38</v>
      </c>
      <c r="I124" s="9" t="s">
        <v>64</v>
      </c>
      <c r="J124" s="9" t="s">
        <v>65</v>
      </c>
      <c r="K124" s="9" t="s">
        <v>41</v>
      </c>
      <c r="L124" s="9" t="s">
        <v>42</v>
      </c>
      <c r="M124" s="9" t="s">
        <v>49</v>
      </c>
      <c r="N124" s="9" t="s">
        <v>43</v>
      </c>
      <c r="O124" s="9" t="s">
        <v>66</v>
      </c>
      <c r="P124" s="9" t="s">
        <v>42</v>
      </c>
      <c r="Q124" s="9" t="s">
        <v>58</v>
      </c>
      <c r="R124" s="9" t="s">
        <v>49</v>
      </c>
      <c r="S124" s="9" t="s">
        <v>47</v>
      </c>
      <c r="T124" s="9" t="s">
        <v>48</v>
      </c>
      <c r="U124" s="9" t="s">
        <v>49</v>
      </c>
      <c r="V124" s="9" t="s">
        <v>49</v>
      </c>
      <c r="W124" s="9" t="s">
        <v>48</v>
      </c>
      <c r="X124" s="9" t="s">
        <v>76</v>
      </c>
      <c r="Y124" s="9" t="s">
        <v>48</v>
      </c>
      <c r="Z124" s="9" t="s">
        <v>50</v>
      </c>
      <c r="AA124" s="9" t="s">
        <v>77</v>
      </c>
      <c r="AB124" s="9" t="s">
        <v>42</v>
      </c>
      <c r="AC124" s="8" t="s">
        <v>221</v>
      </c>
      <c r="AD124" s="9" t="s">
        <v>76</v>
      </c>
      <c r="AE124" s="9" t="s">
        <v>49</v>
      </c>
      <c r="AF124" s="8" t="s">
        <v>62</v>
      </c>
      <c r="AG124" s="8" t="s">
        <v>62</v>
      </c>
      <c r="AH124" s="7" t="n">
        <f aca="false">(O124='Labeling Rules'!$C$6)*'Labeling Rules'!$D$6+(Q124='Labeling Rules'!$C$7)*'Labeling Rules'!$D$7+(R124='Labeling Rules'!$C$8)*'Labeling Rules'!$D$8+(R124='Labeling Rules'!$C$9)*'Labeling Rules'!$D$9+(P124='Labeling Rules'!$C$10)*'Labeling Rules'!$D$10+(M124='Labeling Rules'!$C$11)*'Labeling Rules'!$D$11+(T124='Labeling Rules'!$C$12)*'Labeling Rules'!$D$12+(U124='Labeling Rules'!$C$13)*'Labeling Rules'!$D$13+(W124='Labeling Rules'!$C$14)*'Labeling Rules'!$D$14+(Y124='Labeling Rules'!$C$15)*'Labeling Rules'!$D$15</f>
        <v>1</v>
      </c>
      <c r="AI124" s="7" t="n">
        <f aca="false">IF(AH124&gt;='Labeling Rules'!$D$17,1,0)</f>
        <v>0</v>
      </c>
    </row>
    <row r="125" customFormat="false" ht="14.25" hidden="false" customHeight="false" outlineLevel="0" collapsed="false">
      <c r="A125" s="0" t="n">
        <v>124</v>
      </c>
      <c r="B125" s="6" t="n">
        <v>46160.0439814815</v>
      </c>
      <c r="C125" s="6" t="n">
        <v>46160.0455439815</v>
      </c>
      <c r="D125" s="8" t="s">
        <v>35</v>
      </c>
      <c r="E125" s="8"/>
      <c r="F125" s="9" t="s">
        <v>63</v>
      </c>
      <c r="G125" s="9" t="s">
        <v>37</v>
      </c>
      <c r="H125" s="9" t="s">
        <v>38</v>
      </c>
      <c r="I125" s="9" t="s">
        <v>39</v>
      </c>
      <c r="J125" s="9" t="s">
        <v>56</v>
      </c>
      <c r="K125" s="9" t="s">
        <v>41</v>
      </c>
      <c r="L125" s="9" t="s">
        <v>42</v>
      </c>
      <c r="M125" s="9" t="s">
        <v>43</v>
      </c>
      <c r="N125" s="9" t="s">
        <v>49</v>
      </c>
      <c r="O125" s="9" t="s">
        <v>45</v>
      </c>
      <c r="P125" s="9" t="s">
        <v>76</v>
      </c>
      <c r="Q125" s="9" t="s">
        <v>46</v>
      </c>
      <c r="R125" s="9" t="s">
        <v>49</v>
      </c>
      <c r="S125" s="9" t="s">
        <v>47</v>
      </c>
      <c r="T125" s="9" t="s">
        <v>42</v>
      </c>
      <c r="U125" s="9" t="s">
        <v>49</v>
      </c>
      <c r="V125" s="9" t="s">
        <v>49</v>
      </c>
      <c r="W125" s="9" t="s">
        <v>48</v>
      </c>
      <c r="X125" s="9" t="s">
        <v>76</v>
      </c>
      <c r="Y125" s="9" t="s">
        <v>48</v>
      </c>
      <c r="Z125" s="9" t="s">
        <v>50</v>
      </c>
      <c r="AA125" s="9" t="s">
        <v>77</v>
      </c>
      <c r="AB125" s="9" t="s">
        <v>49</v>
      </c>
      <c r="AC125" s="8" t="s">
        <v>245</v>
      </c>
      <c r="AD125" s="9" t="s">
        <v>76</v>
      </c>
      <c r="AE125" s="9" t="s">
        <v>49</v>
      </c>
      <c r="AF125" s="9" t="s">
        <v>252</v>
      </c>
      <c r="AG125" s="9" t="s">
        <v>48</v>
      </c>
      <c r="AH125" s="7" t="n">
        <f aca="false">(O125='Labeling Rules'!$C$6)*'Labeling Rules'!$D$6+(Q125='Labeling Rules'!$C$7)*'Labeling Rules'!$D$7+(R125='Labeling Rules'!$C$8)*'Labeling Rules'!$D$8+(R125='Labeling Rules'!$C$9)*'Labeling Rules'!$D$9+(P125='Labeling Rules'!$C$10)*'Labeling Rules'!$D$10+(M125='Labeling Rules'!$C$11)*'Labeling Rules'!$D$11+(T125='Labeling Rules'!$C$12)*'Labeling Rules'!$D$12+(U125='Labeling Rules'!$C$13)*'Labeling Rules'!$D$13+(W125='Labeling Rules'!$C$14)*'Labeling Rules'!$D$14+(Y125='Labeling Rules'!$C$15)*'Labeling Rules'!$D$15</f>
        <v>4</v>
      </c>
      <c r="AI125" s="7" t="n">
        <f aca="false">IF(AH125&gt;='Labeling Rules'!$D$17,1,0)</f>
        <v>0</v>
      </c>
    </row>
    <row r="126" customFormat="false" ht="14.25" hidden="false" customHeight="false" outlineLevel="0" collapsed="false">
      <c r="A126" s="0" t="n">
        <v>125</v>
      </c>
      <c r="B126" s="6" t="n">
        <v>46160.0474305556</v>
      </c>
      <c r="C126" s="6" t="n">
        <v>46160.0541087963</v>
      </c>
      <c r="D126" s="8" t="s">
        <v>35</v>
      </c>
      <c r="E126" s="8"/>
      <c r="F126" s="9" t="s">
        <v>36</v>
      </c>
      <c r="G126" s="9" t="s">
        <v>37</v>
      </c>
      <c r="H126" s="9" t="s">
        <v>38</v>
      </c>
      <c r="I126" s="9" t="s">
        <v>64</v>
      </c>
      <c r="J126" s="9" t="s">
        <v>56</v>
      </c>
      <c r="K126" s="9" t="s">
        <v>41</v>
      </c>
      <c r="L126" s="9" t="s">
        <v>42</v>
      </c>
      <c r="M126" s="9" t="s">
        <v>43</v>
      </c>
      <c r="N126" s="9" t="s">
        <v>43</v>
      </c>
      <c r="O126" s="9" t="s">
        <v>57</v>
      </c>
      <c r="P126" s="9" t="s">
        <v>42</v>
      </c>
      <c r="Q126" s="9" t="s">
        <v>58</v>
      </c>
      <c r="R126" s="9" t="s">
        <v>42</v>
      </c>
      <c r="S126" s="9" t="s">
        <v>48</v>
      </c>
      <c r="T126" s="9" t="s">
        <v>42</v>
      </c>
      <c r="U126" s="9" t="s">
        <v>44</v>
      </c>
      <c r="V126" s="9" t="s">
        <v>49</v>
      </c>
      <c r="W126" s="9" t="s">
        <v>48</v>
      </c>
      <c r="X126" s="9" t="s">
        <v>59</v>
      </c>
      <c r="Y126" s="9" t="s">
        <v>48</v>
      </c>
      <c r="Z126" s="9" t="s">
        <v>50</v>
      </c>
      <c r="AA126" s="9" t="s">
        <v>51</v>
      </c>
      <c r="AB126" s="9" t="s">
        <v>49</v>
      </c>
      <c r="AC126" s="8" t="s">
        <v>221</v>
      </c>
      <c r="AD126" s="9" t="s">
        <v>42</v>
      </c>
      <c r="AE126" s="9" t="s">
        <v>44</v>
      </c>
      <c r="AF126" s="9" t="s">
        <v>253</v>
      </c>
      <c r="AG126" s="9" t="s">
        <v>42</v>
      </c>
      <c r="AH126" s="7" t="n">
        <f aca="false">(O126='Labeling Rules'!$C$6)*'Labeling Rules'!$D$6+(Q126='Labeling Rules'!$C$7)*'Labeling Rules'!$D$7+(R126='Labeling Rules'!$C$8)*'Labeling Rules'!$D$8+(R126='Labeling Rules'!$C$9)*'Labeling Rules'!$D$9+(P126='Labeling Rules'!$C$10)*'Labeling Rules'!$D$10+(M126='Labeling Rules'!$C$11)*'Labeling Rules'!$D$11+(T126='Labeling Rules'!$C$12)*'Labeling Rules'!$D$12+(U126='Labeling Rules'!$C$13)*'Labeling Rules'!$D$13+(W126='Labeling Rules'!$C$14)*'Labeling Rules'!$D$14+(Y126='Labeling Rules'!$C$15)*'Labeling Rules'!$D$15</f>
        <v>3</v>
      </c>
      <c r="AI126" s="7" t="n">
        <f aca="false">IF(AH126&gt;='Labeling Rules'!$D$17,1,0)</f>
        <v>0</v>
      </c>
    </row>
    <row r="127" customFormat="false" ht="14.25" hidden="false" customHeight="false" outlineLevel="0" collapsed="false">
      <c r="A127" s="0" t="n">
        <v>126</v>
      </c>
      <c r="B127" s="6" t="n">
        <v>46160.0529513889</v>
      </c>
      <c r="C127" s="6" t="n">
        <v>46160.0554976852</v>
      </c>
      <c r="D127" s="8" t="s">
        <v>35</v>
      </c>
      <c r="E127" s="8"/>
      <c r="F127" s="9" t="s">
        <v>36</v>
      </c>
      <c r="G127" s="9" t="s">
        <v>37</v>
      </c>
      <c r="H127" s="9" t="s">
        <v>38</v>
      </c>
      <c r="I127" s="9" t="s">
        <v>64</v>
      </c>
      <c r="J127" s="9" t="s">
        <v>65</v>
      </c>
      <c r="K127" s="9" t="s">
        <v>41</v>
      </c>
      <c r="L127" s="9" t="s">
        <v>42</v>
      </c>
      <c r="M127" s="9" t="s">
        <v>43</v>
      </c>
      <c r="N127" s="9" t="s">
        <v>49</v>
      </c>
      <c r="O127" s="9" t="s">
        <v>66</v>
      </c>
      <c r="P127" s="9" t="s">
        <v>76</v>
      </c>
      <c r="Q127" s="9" t="s">
        <v>81</v>
      </c>
      <c r="R127" s="9" t="s">
        <v>42</v>
      </c>
      <c r="S127" s="9" t="s">
        <v>48</v>
      </c>
      <c r="T127" s="9" t="s">
        <v>42</v>
      </c>
      <c r="U127" s="9" t="s">
        <v>49</v>
      </c>
      <c r="V127" s="9" t="s">
        <v>49</v>
      </c>
      <c r="W127" s="9" t="s">
        <v>48</v>
      </c>
      <c r="X127" s="9" t="s">
        <v>59</v>
      </c>
      <c r="Y127" s="9" t="s">
        <v>48</v>
      </c>
      <c r="Z127" s="9" t="s">
        <v>50</v>
      </c>
      <c r="AA127" s="9" t="s">
        <v>77</v>
      </c>
      <c r="AB127" s="9" t="s">
        <v>49</v>
      </c>
      <c r="AC127" s="8" t="s">
        <v>221</v>
      </c>
      <c r="AD127" s="9" t="s">
        <v>76</v>
      </c>
      <c r="AE127" s="9" t="s">
        <v>49</v>
      </c>
      <c r="AF127" s="9" t="s">
        <v>242</v>
      </c>
      <c r="AG127" s="9" t="s">
        <v>48</v>
      </c>
      <c r="AH127" s="7" t="n">
        <f aca="false">(O127='Labeling Rules'!$C$6)*'Labeling Rules'!$D$6+(Q127='Labeling Rules'!$C$7)*'Labeling Rules'!$D$7+(R127='Labeling Rules'!$C$8)*'Labeling Rules'!$D$8+(R127='Labeling Rules'!$C$9)*'Labeling Rules'!$D$9+(P127='Labeling Rules'!$C$10)*'Labeling Rules'!$D$10+(M127='Labeling Rules'!$C$11)*'Labeling Rules'!$D$11+(T127='Labeling Rules'!$C$12)*'Labeling Rules'!$D$12+(U127='Labeling Rules'!$C$13)*'Labeling Rules'!$D$13+(W127='Labeling Rules'!$C$14)*'Labeling Rules'!$D$14+(Y127='Labeling Rules'!$C$15)*'Labeling Rules'!$D$15</f>
        <v>5</v>
      </c>
      <c r="AI127" s="7" t="n">
        <f aca="false">IF(AH127&gt;='Labeling Rules'!$D$17,1,0)</f>
        <v>1</v>
      </c>
    </row>
    <row r="128" customFormat="false" ht="14.25" hidden="false" customHeight="false" outlineLevel="0" collapsed="false">
      <c r="A128" s="0" t="n">
        <v>127</v>
      </c>
      <c r="B128" s="6" t="n">
        <v>46160.0683912037</v>
      </c>
      <c r="C128" s="6" t="n">
        <v>46160.0709490741</v>
      </c>
      <c r="D128" s="8" t="s">
        <v>35</v>
      </c>
      <c r="E128" s="8"/>
      <c r="F128" s="9" t="s">
        <v>36</v>
      </c>
      <c r="G128" s="9" t="s">
        <v>37</v>
      </c>
      <c r="H128" s="9" t="s">
        <v>38</v>
      </c>
      <c r="I128" s="9" t="s">
        <v>55</v>
      </c>
      <c r="J128" s="9" t="s">
        <v>56</v>
      </c>
      <c r="K128" s="9" t="s">
        <v>41</v>
      </c>
      <c r="L128" s="9" t="s">
        <v>42</v>
      </c>
      <c r="M128" s="9" t="s">
        <v>49</v>
      </c>
      <c r="N128" s="9" t="s">
        <v>49</v>
      </c>
      <c r="O128" s="9" t="s">
        <v>66</v>
      </c>
      <c r="P128" s="9" t="s">
        <v>42</v>
      </c>
      <c r="Q128" s="9" t="s">
        <v>58</v>
      </c>
      <c r="R128" s="9" t="s">
        <v>49</v>
      </c>
      <c r="S128" s="9" t="s">
        <v>47</v>
      </c>
      <c r="T128" s="9" t="s">
        <v>48</v>
      </c>
      <c r="U128" s="9" t="s">
        <v>44</v>
      </c>
      <c r="V128" s="9" t="s">
        <v>49</v>
      </c>
      <c r="W128" s="9" t="s">
        <v>48</v>
      </c>
      <c r="X128" s="9" t="s">
        <v>59</v>
      </c>
      <c r="Y128" s="9" t="s">
        <v>48</v>
      </c>
      <c r="Z128" s="9" t="s">
        <v>50</v>
      </c>
      <c r="AA128" s="9" t="s">
        <v>77</v>
      </c>
      <c r="AB128" s="9" t="s">
        <v>49</v>
      </c>
      <c r="AC128" s="8" t="s">
        <v>254</v>
      </c>
      <c r="AD128" s="9" t="s">
        <v>42</v>
      </c>
      <c r="AE128" s="9" t="s">
        <v>49</v>
      </c>
      <c r="AF128" s="9" t="s">
        <v>255</v>
      </c>
      <c r="AG128" s="9" t="s">
        <v>256</v>
      </c>
      <c r="AH128" s="7" t="n">
        <f aca="false">(O128='Labeling Rules'!$C$6)*'Labeling Rules'!$D$6+(Q128='Labeling Rules'!$C$7)*'Labeling Rules'!$D$7+(R128='Labeling Rules'!$C$8)*'Labeling Rules'!$D$8+(R128='Labeling Rules'!$C$9)*'Labeling Rules'!$D$9+(P128='Labeling Rules'!$C$10)*'Labeling Rules'!$D$10+(M128='Labeling Rules'!$C$11)*'Labeling Rules'!$D$11+(T128='Labeling Rules'!$C$12)*'Labeling Rules'!$D$12+(U128='Labeling Rules'!$C$13)*'Labeling Rules'!$D$13+(W128='Labeling Rules'!$C$14)*'Labeling Rules'!$D$14+(Y128='Labeling Rules'!$C$15)*'Labeling Rules'!$D$15</f>
        <v>1</v>
      </c>
      <c r="AI128" s="7" t="n">
        <f aca="false">IF(AH128&gt;='Labeling Rules'!$D$17,1,0)</f>
        <v>0</v>
      </c>
    </row>
    <row r="129" customFormat="false" ht="72" hidden="false" customHeight="true" outlineLevel="0" collapsed="false">
      <c r="A129" s="0" t="n">
        <v>128</v>
      </c>
      <c r="B129" s="6" t="n">
        <v>46160.2553125</v>
      </c>
      <c r="C129" s="6" t="n">
        <v>46160.2584606482</v>
      </c>
      <c r="D129" s="8" t="s">
        <v>35</v>
      </c>
      <c r="E129" s="8"/>
      <c r="F129" s="9" t="s">
        <v>63</v>
      </c>
      <c r="G129" s="9" t="s">
        <v>37</v>
      </c>
      <c r="H129" s="9" t="s">
        <v>38</v>
      </c>
      <c r="I129" s="9" t="s">
        <v>39</v>
      </c>
      <c r="J129" s="9" t="s">
        <v>56</v>
      </c>
      <c r="K129" s="9" t="s">
        <v>41</v>
      </c>
      <c r="L129" s="9" t="s">
        <v>42</v>
      </c>
      <c r="M129" s="9" t="s">
        <v>43</v>
      </c>
      <c r="N129" s="9" t="s">
        <v>44</v>
      </c>
      <c r="O129" s="9" t="s">
        <v>66</v>
      </c>
      <c r="P129" s="9" t="s">
        <v>76</v>
      </c>
      <c r="Q129" s="9" t="s">
        <v>58</v>
      </c>
      <c r="R129" s="9" t="s">
        <v>42</v>
      </c>
      <c r="S129" s="9" t="s">
        <v>42</v>
      </c>
      <c r="T129" s="9" t="s">
        <v>42</v>
      </c>
      <c r="U129" s="9" t="s">
        <v>44</v>
      </c>
      <c r="V129" s="9" t="s">
        <v>49</v>
      </c>
      <c r="W129" s="9" t="s">
        <v>48</v>
      </c>
      <c r="X129" s="9" t="s">
        <v>59</v>
      </c>
      <c r="Y129" s="9" t="s">
        <v>48</v>
      </c>
      <c r="Z129" s="9" t="s">
        <v>50</v>
      </c>
      <c r="AA129" s="9" t="s">
        <v>67</v>
      </c>
      <c r="AB129" s="9" t="s">
        <v>42</v>
      </c>
      <c r="AC129" s="8" t="s">
        <v>235</v>
      </c>
      <c r="AD129" s="9" t="s">
        <v>48</v>
      </c>
      <c r="AE129" s="9" t="s">
        <v>44</v>
      </c>
      <c r="AF129" s="11" t="s">
        <v>257</v>
      </c>
      <c r="AG129" s="9" t="s">
        <v>48</v>
      </c>
      <c r="AH129" s="7" t="n">
        <f aca="false">(O129='Labeling Rules'!$C$6)*'Labeling Rules'!$D$6+(Q129='Labeling Rules'!$C$7)*'Labeling Rules'!$D$7+(R129='Labeling Rules'!$C$8)*'Labeling Rules'!$D$8+(R129='Labeling Rules'!$C$9)*'Labeling Rules'!$D$9+(P129='Labeling Rules'!$C$10)*'Labeling Rules'!$D$10+(M129='Labeling Rules'!$C$11)*'Labeling Rules'!$D$11+(T129='Labeling Rules'!$C$12)*'Labeling Rules'!$D$12+(U129='Labeling Rules'!$C$13)*'Labeling Rules'!$D$13+(W129='Labeling Rules'!$C$14)*'Labeling Rules'!$D$14+(Y129='Labeling Rules'!$C$15)*'Labeling Rules'!$D$15</f>
        <v>3</v>
      </c>
      <c r="AI129" s="7" t="n">
        <f aca="false">IF(AH129&gt;='Labeling Rules'!$D$17,1,0)</f>
        <v>0</v>
      </c>
    </row>
    <row r="130" customFormat="false" ht="14.25" hidden="false" customHeight="false" outlineLevel="0" collapsed="false">
      <c r="A130" s="0" t="n">
        <v>129</v>
      </c>
      <c r="B130" s="6" t="n">
        <v>46160.2719097222</v>
      </c>
      <c r="C130" s="6" t="n">
        <v>46160.2739583333</v>
      </c>
      <c r="D130" s="8" t="s">
        <v>35</v>
      </c>
      <c r="E130" s="8"/>
      <c r="F130" s="9" t="s">
        <v>63</v>
      </c>
      <c r="G130" s="9" t="s">
        <v>37</v>
      </c>
      <c r="H130" s="9" t="s">
        <v>38</v>
      </c>
      <c r="I130" s="9" t="s">
        <v>39</v>
      </c>
      <c r="J130" s="9" t="s">
        <v>56</v>
      </c>
      <c r="K130" s="9" t="s">
        <v>41</v>
      </c>
      <c r="L130" s="9" t="s">
        <v>42</v>
      </c>
      <c r="M130" s="9" t="s">
        <v>44</v>
      </c>
      <c r="N130" s="9" t="s">
        <v>43</v>
      </c>
      <c r="O130" s="9" t="s">
        <v>66</v>
      </c>
      <c r="P130" s="9" t="s">
        <v>42</v>
      </c>
      <c r="Q130" s="9" t="s">
        <v>46</v>
      </c>
      <c r="R130" s="9" t="s">
        <v>42</v>
      </c>
      <c r="S130" s="9" t="s">
        <v>42</v>
      </c>
      <c r="T130" s="9" t="s">
        <v>48</v>
      </c>
      <c r="U130" s="9" t="s">
        <v>44</v>
      </c>
      <c r="V130" s="9" t="s">
        <v>82</v>
      </c>
      <c r="W130" s="9" t="s">
        <v>48</v>
      </c>
      <c r="X130" s="9" t="s">
        <v>59</v>
      </c>
      <c r="Y130" s="9" t="s">
        <v>48</v>
      </c>
      <c r="Z130" s="9" t="s">
        <v>48</v>
      </c>
      <c r="AA130" s="9" t="s">
        <v>67</v>
      </c>
      <c r="AB130" s="9" t="s">
        <v>42</v>
      </c>
      <c r="AC130" s="8" t="s">
        <v>245</v>
      </c>
      <c r="AD130" s="9" t="s">
        <v>42</v>
      </c>
      <c r="AE130" s="9" t="s">
        <v>74</v>
      </c>
      <c r="AF130" s="9" t="s">
        <v>258</v>
      </c>
      <c r="AG130" s="9" t="s">
        <v>258</v>
      </c>
      <c r="AH130" s="7" t="n">
        <f aca="false">(O130='Labeling Rules'!$C$6)*'Labeling Rules'!$D$6+(Q130='Labeling Rules'!$C$7)*'Labeling Rules'!$D$7+(R130='Labeling Rules'!$C$8)*'Labeling Rules'!$D$8+(R130='Labeling Rules'!$C$9)*'Labeling Rules'!$D$9+(P130='Labeling Rules'!$C$10)*'Labeling Rules'!$D$10+(M130='Labeling Rules'!$C$11)*'Labeling Rules'!$D$11+(T130='Labeling Rules'!$C$12)*'Labeling Rules'!$D$12+(U130='Labeling Rules'!$C$13)*'Labeling Rules'!$D$13+(W130='Labeling Rules'!$C$14)*'Labeling Rules'!$D$14+(Y130='Labeling Rules'!$C$15)*'Labeling Rules'!$D$15</f>
        <v>3</v>
      </c>
      <c r="AI130" s="7" t="n">
        <f aca="false">IF(AH130&gt;='Labeling Rules'!$D$17,1,0)</f>
        <v>0</v>
      </c>
    </row>
    <row r="131" customFormat="false" ht="14.25" hidden="false" customHeight="false" outlineLevel="0" collapsed="false">
      <c r="A131" s="0" t="n">
        <v>130</v>
      </c>
      <c r="B131" s="6" t="n">
        <v>46160.3602430556</v>
      </c>
      <c r="C131" s="6" t="n">
        <v>46160.3618055556</v>
      </c>
      <c r="D131" s="8" t="s">
        <v>35</v>
      </c>
      <c r="E131" s="8"/>
      <c r="F131" s="9" t="s">
        <v>63</v>
      </c>
      <c r="G131" s="9" t="s">
        <v>37</v>
      </c>
      <c r="H131" s="9" t="s">
        <v>38</v>
      </c>
      <c r="I131" s="9" t="s">
        <v>39</v>
      </c>
      <c r="J131" s="9" t="s">
        <v>40</v>
      </c>
      <c r="K131" s="9" t="s">
        <v>41</v>
      </c>
      <c r="L131" s="9" t="s">
        <v>42</v>
      </c>
      <c r="M131" s="9" t="s">
        <v>44</v>
      </c>
      <c r="N131" s="9" t="s">
        <v>49</v>
      </c>
      <c r="O131" s="9" t="s">
        <v>66</v>
      </c>
      <c r="P131" s="9" t="s">
        <v>42</v>
      </c>
      <c r="Q131" s="9" t="s">
        <v>58</v>
      </c>
      <c r="R131" s="9" t="s">
        <v>48</v>
      </c>
      <c r="S131" s="9" t="s">
        <v>48</v>
      </c>
      <c r="T131" s="9" t="s">
        <v>48</v>
      </c>
      <c r="U131" s="9" t="s">
        <v>44</v>
      </c>
      <c r="V131" s="9" t="s">
        <v>49</v>
      </c>
      <c r="W131" s="9" t="s">
        <v>48</v>
      </c>
      <c r="X131" s="9" t="s">
        <v>59</v>
      </c>
      <c r="Y131" s="9" t="s">
        <v>48</v>
      </c>
      <c r="Z131" s="9" t="s">
        <v>50</v>
      </c>
      <c r="AA131" s="9" t="s">
        <v>67</v>
      </c>
      <c r="AB131" s="9" t="s">
        <v>49</v>
      </c>
      <c r="AC131" s="8" t="s">
        <v>259</v>
      </c>
      <c r="AD131" s="9" t="s">
        <v>42</v>
      </c>
      <c r="AE131" s="9" t="s">
        <v>74</v>
      </c>
      <c r="AF131" s="8" t="s">
        <v>62</v>
      </c>
      <c r="AG131" s="8" t="s">
        <v>62</v>
      </c>
      <c r="AH131" s="7" t="n">
        <f aca="false">(O131='Labeling Rules'!$C$6)*'Labeling Rules'!$D$6+(Q131='Labeling Rules'!$C$7)*'Labeling Rules'!$D$7+(R131='Labeling Rules'!$C$8)*'Labeling Rules'!$D$8+(R131='Labeling Rules'!$C$9)*'Labeling Rules'!$D$9+(P131='Labeling Rules'!$C$10)*'Labeling Rules'!$D$10+(M131='Labeling Rules'!$C$11)*'Labeling Rules'!$D$11+(T131='Labeling Rules'!$C$12)*'Labeling Rules'!$D$12+(U131='Labeling Rules'!$C$13)*'Labeling Rules'!$D$13+(W131='Labeling Rules'!$C$14)*'Labeling Rules'!$D$14+(Y131='Labeling Rules'!$C$15)*'Labeling Rules'!$D$15</f>
        <v>1</v>
      </c>
      <c r="AI131" s="7" t="n">
        <f aca="false">IF(AH131&gt;='Labeling Rules'!$D$17,1,0)</f>
        <v>0</v>
      </c>
    </row>
    <row r="132" customFormat="false" ht="14.25" hidden="false" customHeight="false" outlineLevel="0" collapsed="false">
      <c r="A132" s="0" t="n">
        <v>131</v>
      </c>
      <c r="B132" s="6" t="n">
        <v>46160.4325810185</v>
      </c>
      <c r="C132" s="6" t="n">
        <v>46160.4343402778</v>
      </c>
      <c r="D132" s="8" t="s">
        <v>35</v>
      </c>
      <c r="E132" s="8"/>
      <c r="F132" s="9" t="s">
        <v>36</v>
      </c>
      <c r="G132" s="9" t="s">
        <v>37</v>
      </c>
      <c r="H132" s="9" t="s">
        <v>38</v>
      </c>
      <c r="I132" s="9" t="s">
        <v>64</v>
      </c>
      <c r="J132" s="9" t="s">
        <v>56</v>
      </c>
      <c r="K132" s="9" t="s">
        <v>41</v>
      </c>
      <c r="L132" s="9" t="s">
        <v>42</v>
      </c>
      <c r="M132" s="9" t="s">
        <v>44</v>
      </c>
      <c r="N132" s="9" t="s">
        <v>44</v>
      </c>
      <c r="O132" s="9" t="s">
        <v>45</v>
      </c>
      <c r="P132" s="9" t="s">
        <v>76</v>
      </c>
      <c r="Q132" s="9" t="s">
        <v>46</v>
      </c>
      <c r="R132" s="9" t="s">
        <v>49</v>
      </c>
      <c r="S132" s="9" t="s">
        <v>48</v>
      </c>
      <c r="T132" s="9" t="s">
        <v>48</v>
      </c>
      <c r="U132" s="9" t="s">
        <v>44</v>
      </c>
      <c r="V132" s="9" t="s">
        <v>74</v>
      </c>
      <c r="W132" s="9" t="s">
        <v>48</v>
      </c>
      <c r="X132" s="9" t="s">
        <v>76</v>
      </c>
      <c r="Y132" s="9" t="s">
        <v>48</v>
      </c>
      <c r="Z132" s="9" t="s">
        <v>50</v>
      </c>
      <c r="AA132" s="9" t="s">
        <v>67</v>
      </c>
      <c r="AB132" s="9" t="s">
        <v>48</v>
      </c>
      <c r="AC132" s="8" t="s">
        <v>221</v>
      </c>
      <c r="AD132" s="9" t="s">
        <v>76</v>
      </c>
      <c r="AE132" s="9" t="s">
        <v>44</v>
      </c>
      <c r="AF132" s="8" t="s">
        <v>260</v>
      </c>
      <c r="AG132" s="8" t="s">
        <v>261</v>
      </c>
      <c r="AH132" s="7" t="n">
        <f aca="false">(O132='Labeling Rules'!$C$6)*'Labeling Rules'!$D$6+(Q132='Labeling Rules'!$C$7)*'Labeling Rules'!$D$7+(R132='Labeling Rules'!$C$8)*'Labeling Rules'!$D$8+(R132='Labeling Rules'!$C$9)*'Labeling Rules'!$D$9+(P132='Labeling Rules'!$C$10)*'Labeling Rules'!$D$10+(M132='Labeling Rules'!$C$11)*'Labeling Rules'!$D$11+(T132='Labeling Rules'!$C$12)*'Labeling Rules'!$D$12+(U132='Labeling Rules'!$C$13)*'Labeling Rules'!$D$13+(W132='Labeling Rules'!$C$14)*'Labeling Rules'!$D$14+(Y132='Labeling Rules'!$C$15)*'Labeling Rules'!$D$15</f>
        <v>4</v>
      </c>
      <c r="AI132" s="7" t="n">
        <f aca="false">IF(AH132&gt;='Labeling Rules'!$D$17,1,0)</f>
        <v>0</v>
      </c>
    </row>
    <row r="133" customFormat="false" ht="28.5" hidden="false" customHeight="true" outlineLevel="0" collapsed="false">
      <c r="A133" s="0" t="n">
        <v>132</v>
      </c>
      <c r="B133" s="6" t="n">
        <v>46160.5716782407</v>
      </c>
      <c r="C133" s="6" t="n">
        <v>46160.5735532407</v>
      </c>
      <c r="D133" s="8" t="s">
        <v>35</v>
      </c>
      <c r="E133" s="8"/>
      <c r="F133" s="9" t="s">
        <v>63</v>
      </c>
      <c r="G133" s="9" t="s">
        <v>37</v>
      </c>
      <c r="H133" s="9" t="s">
        <v>38</v>
      </c>
      <c r="I133" s="9" t="s">
        <v>80</v>
      </c>
      <c r="J133" s="9" t="s">
        <v>56</v>
      </c>
      <c r="K133" s="9" t="s">
        <v>41</v>
      </c>
      <c r="L133" s="9" t="s">
        <v>42</v>
      </c>
      <c r="M133" s="9" t="s">
        <v>49</v>
      </c>
      <c r="N133" s="9" t="s">
        <v>43</v>
      </c>
      <c r="O133" s="9" t="s">
        <v>66</v>
      </c>
      <c r="P133" s="9" t="s">
        <v>42</v>
      </c>
      <c r="Q133" s="9" t="s">
        <v>46</v>
      </c>
      <c r="R133" s="9" t="s">
        <v>48</v>
      </c>
      <c r="S133" s="9" t="s">
        <v>47</v>
      </c>
      <c r="T133" s="9" t="s">
        <v>48</v>
      </c>
      <c r="U133" s="9" t="s">
        <v>44</v>
      </c>
      <c r="V133" s="9" t="s">
        <v>49</v>
      </c>
      <c r="W133" s="9" t="s">
        <v>48</v>
      </c>
      <c r="X133" s="9" t="s">
        <v>59</v>
      </c>
      <c r="Y133" s="9" t="s">
        <v>48</v>
      </c>
      <c r="Z133" s="9" t="s">
        <v>50</v>
      </c>
      <c r="AA133" s="9" t="s">
        <v>60</v>
      </c>
      <c r="AB133" s="9" t="s">
        <v>42</v>
      </c>
      <c r="AC133" s="8" t="s">
        <v>262</v>
      </c>
      <c r="AD133" s="9" t="s">
        <v>76</v>
      </c>
      <c r="AE133" s="9" t="s">
        <v>44</v>
      </c>
      <c r="AF133" s="11" t="s">
        <v>263</v>
      </c>
      <c r="AG133" s="9" t="s">
        <v>42</v>
      </c>
      <c r="AH133" s="7" t="n">
        <f aca="false">(O133='Labeling Rules'!$C$6)*'Labeling Rules'!$D$6+(Q133='Labeling Rules'!$C$7)*'Labeling Rules'!$D$7+(R133='Labeling Rules'!$C$8)*'Labeling Rules'!$D$8+(R133='Labeling Rules'!$C$9)*'Labeling Rules'!$D$9+(P133='Labeling Rules'!$C$10)*'Labeling Rules'!$D$10+(M133='Labeling Rules'!$C$11)*'Labeling Rules'!$D$11+(T133='Labeling Rules'!$C$12)*'Labeling Rules'!$D$12+(U133='Labeling Rules'!$C$13)*'Labeling Rules'!$D$13+(W133='Labeling Rules'!$C$14)*'Labeling Rules'!$D$14+(Y133='Labeling Rules'!$C$15)*'Labeling Rules'!$D$15</f>
        <v>0</v>
      </c>
      <c r="AI133" s="7" t="n">
        <f aca="false">IF(AH133&gt;='Labeling Rules'!$D$17,1,0)</f>
        <v>0</v>
      </c>
    </row>
    <row r="134" customFormat="false" ht="14.25" hidden="false" customHeight="false" outlineLevel="0" collapsed="false">
      <c r="A134" s="0" t="n">
        <v>133</v>
      </c>
      <c r="B134" s="6" t="n">
        <v>46160.5809606482</v>
      </c>
      <c r="C134" s="6" t="n">
        <v>46160.5826388889</v>
      </c>
      <c r="D134" s="8" t="s">
        <v>35</v>
      </c>
      <c r="E134" s="8"/>
      <c r="F134" s="9" t="s">
        <v>63</v>
      </c>
      <c r="G134" s="9" t="s">
        <v>37</v>
      </c>
      <c r="H134" s="9" t="s">
        <v>38</v>
      </c>
      <c r="I134" s="9" t="s">
        <v>80</v>
      </c>
      <c r="J134" s="9" t="s">
        <v>56</v>
      </c>
      <c r="K134" s="9" t="s">
        <v>41</v>
      </c>
      <c r="L134" s="9" t="s">
        <v>48</v>
      </c>
      <c r="M134" s="9" t="s">
        <v>49</v>
      </c>
      <c r="N134" s="9" t="s">
        <v>75</v>
      </c>
      <c r="O134" s="9" t="s">
        <v>66</v>
      </c>
      <c r="P134" s="9" t="s">
        <v>42</v>
      </c>
      <c r="Q134" s="9" t="s">
        <v>58</v>
      </c>
      <c r="R134" s="9" t="s">
        <v>49</v>
      </c>
      <c r="S134" s="9" t="s">
        <v>48</v>
      </c>
      <c r="T134" s="9" t="s">
        <v>42</v>
      </c>
      <c r="U134" s="9" t="s">
        <v>44</v>
      </c>
      <c r="V134" s="9" t="s">
        <v>49</v>
      </c>
      <c r="W134" s="9" t="s">
        <v>48</v>
      </c>
      <c r="X134" s="9" t="s">
        <v>59</v>
      </c>
      <c r="Y134" s="9" t="s">
        <v>48</v>
      </c>
      <c r="Z134" s="9" t="s">
        <v>83</v>
      </c>
      <c r="AA134" s="9" t="s">
        <v>67</v>
      </c>
      <c r="AB134" s="9" t="s">
        <v>49</v>
      </c>
      <c r="AC134" s="8" t="s">
        <v>221</v>
      </c>
      <c r="AD134" s="9" t="s">
        <v>42</v>
      </c>
      <c r="AE134" s="9" t="s">
        <v>49</v>
      </c>
      <c r="AF134" s="8" t="s">
        <v>264</v>
      </c>
      <c r="AG134" s="8" t="s">
        <v>264</v>
      </c>
      <c r="AH134" s="7" t="n">
        <f aca="false">(O134='Labeling Rules'!$C$6)*'Labeling Rules'!$D$6+(Q134='Labeling Rules'!$C$7)*'Labeling Rules'!$D$7+(R134='Labeling Rules'!$C$8)*'Labeling Rules'!$D$8+(R134='Labeling Rules'!$C$9)*'Labeling Rules'!$D$9+(P134='Labeling Rules'!$C$10)*'Labeling Rules'!$D$10+(M134='Labeling Rules'!$C$11)*'Labeling Rules'!$D$11+(T134='Labeling Rules'!$C$12)*'Labeling Rules'!$D$12+(U134='Labeling Rules'!$C$13)*'Labeling Rules'!$D$13+(W134='Labeling Rules'!$C$14)*'Labeling Rules'!$D$14+(Y134='Labeling Rules'!$C$15)*'Labeling Rules'!$D$15</f>
        <v>2</v>
      </c>
      <c r="AI134" s="7" t="n">
        <f aca="false">IF(AH134&gt;='Labeling Rules'!$D$17,1,0)</f>
        <v>0</v>
      </c>
    </row>
    <row r="135" customFormat="false" ht="14.25" hidden="false" customHeight="false" outlineLevel="0" collapsed="false">
      <c r="A135" s="0" t="n">
        <v>134</v>
      </c>
      <c r="B135" s="6" t="n">
        <v>46160.5950347222</v>
      </c>
      <c r="C135" s="6" t="n">
        <v>46160.5966898148</v>
      </c>
      <c r="D135" s="8" t="s">
        <v>35</v>
      </c>
      <c r="E135" s="8"/>
      <c r="F135" s="9" t="s">
        <v>63</v>
      </c>
      <c r="G135" s="9" t="s">
        <v>37</v>
      </c>
      <c r="H135" s="9" t="s">
        <v>38</v>
      </c>
      <c r="I135" s="9" t="s">
        <v>64</v>
      </c>
      <c r="J135" s="9" t="s">
        <v>56</v>
      </c>
      <c r="K135" s="9" t="s">
        <v>41</v>
      </c>
      <c r="L135" s="9" t="s">
        <v>42</v>
      </c>
      <c r="M135" s="9" t="s">
        <v>74</v>
      </c>
      <c r="N135" s="9" t="s">
        <v>43</v>
      </c>
      <c r="O135" s="9" t="s">
        <v>57</v>
      </c>
      <c r="P135" s="9" t="s">
        <v>76</v>
      </c>
      <c r="Q135" s="9" t="s">
        <v>46</v>
      </c>
      <c r="R135" s="9" t="s">
        <v>48</v>
      </c>
      <c r="S135" s="9" t="s">
        <v>48</v>
      </c>
      <c r="T135" s="9" t="s">
        <v>48</v>
      </c>
      <c r="U135" s="9" t="s">
        <v>44</v>
      </c>
      <c r="V135" s="9" t="s">
        <v>49</v>
      </c>
      <c r="W135" s="9" t="s">
        <v>48</v>
      </c>
      <c r="X135" s="9" t="s">
        <v>76</v>
      </c>
      <c r="Y135" s="9" t="s">
        <v>48</v>
      </c>
      <c r="Z135" s="9" t="s">
        <v>50</v>
      </c>
      <c r="AA135" s="9" t="s">
        <v>67</v>
      </c>
      <c r="AB135" s="9" t="s">
        <v>42</v>
      </c>
      <c r="AC135" s="8" t="s">
        <v>232</v>
      </c>
      <c r="AD135" s="9" t="s">
        <v>42</v>
      </c>
      <c r="AE135" s="9" t="s">
        <v>49</v>
      </c>
      <c r="AF135" s="8" t="s">
        <v>62</v>
      </c>
      <c r="AG135" s="8" t="s">
        <v>62</v>
      </c>
      <c r="AH135" s="7" t="n">
        <f aca="false">(O135='Labeling Rules'!$C$6)*'Labeling Rules'!$D$6+(Q135='Labeling Rules'!$C$7)*'Labeling Rules'!$D$7+(R135='Labeling Rules'!$C$8)*'Labeling Rules'!$D$8+(R135='Labeling Rules'!$C$9)*'Labeling Rules'!$D$9+(P135='Labeling Rules'!$C$10)*'Labeling Rules'!$D$10+(M135='Labeling Rules'!$C$11)*'Labeling Rules'!$D$11+(T135='Labeling Rules'!$C$12)*'Labeling Rules'!$D$12+(U135='Labeling Rules'!$C$13)*'Labeling Rules'!$D$13+(W135='Labeling Rules'!$C$14)*'Labeling Rules'!$D$14+(Y135='Labeling Rules'!$C$15)*'Labeling Rules'!$D$15</f>
        <v>0</v>
      </c>
      <c r="AI135" s="7" t="n">
        <f aca="false">IF(AH135&gt;='Labeling Rules'!$D$17,1,0)</f>
        <v>0</v>
      </c>
    </row>
    <row r="136" customFormat="false" ht="14.25" hidden="false" customHeight="false" outlineLevel="0" collapsed="false">
      <c r="A136" s="0" t="n">
        <v>135</v>
      </c>
      <c r="B136" s="6" t="n">
        <v>46160.5941435185</v>
      </c>
      <c r="C136" s="6" t="n">
        <v>46160.5969560185</v>
      </c>
      <c r="D136" s="8" t="s">
        <v>35</v>
      </c>
      <c r="E136" s="8"/>
      <c r="F136" s="9" t="s">
        <v>36</v>
      </c>
      <c r="G136" s="9" t="s">
        <v>37</v>
      </c>
      <c r="H136" s="9" t="s">
        <v>38</v>
      </c>
      <c r="I136" s="9" t="s">
        <v>64</v>
      </c>
      <c r="J136" s="9" t="s">
        <v>56</v>
      </c>
      <c r="K136" s="9" t="s">
        <v>41</v>
      </c>
      <c r="L136" s="9" t="s">
        <v>42</v>
      </c>
      <c r="M136" s="9" t="s">
        <v>44</v>
      </c>
      <c r="N136" s="9" t="s">
        <v>44</v>
      </c>
      <c r="O136" s="9" t="s">
        <v>45</v>
      </c>
      <c r="P136" s="9" t="s">
        <v>76</v>
      </c>
      <c r="Q136" s="9" t="s">
        <v>46</v>
      </c>
      <c r="R136" s="9" t="s">
        <v>42</v>
      </c>
      <c r="S136" s="9" t="s">
        <v>48</v>
      </c>
      <c r="T136" s="9" t="s">
        <v>42</v>
      </c>
      <c r="U136" s="9" t="s">
        <v>44</v>
      </c>
      <c r="V136" s="9" t="s">
        <v>82</v>
      </c>
      <c r="W136" s="9" t="s">
        <v>48</v>
      </c>
      <c r="X136" s="9" t="s">
        <v>59</v>
      </c>
      <c r="Y136" s="9" t="s">
        <v>48</v>
      </c>
      <c r="Z136" s="9" t="s">
        <v>50</v>
      </c>
      <c r="AA136" s="9" t="s">
        <v>51</v>
      </c>
      <c r="AB136" s="9" t="s">
        <v>42</v>
      </c>
      <c r="AC136" s="8" t="s">
        <v>221</v>
      </c>
      <c r="AD136" s="9" t="s">
        <v>42</v>
      </c>
      <c r="AE136" s="9" t="s">
        <v>44</v>
      </c>
      <c r="AF136" s="8" t="s">
        <v>62</v>
      </c>
      <c r="AG136" s="9" t="s">
        <v>265</v>
      </c>
      <c r="AH136" s="7" t="n">
        <f aca="false">(O136='Labeling Rules'!$C$6)*'Labeling Rules'!$D$6+(Q136='Labeling Rules'!$C$7)*'Labeling Rules'!$D$7+(R136='Labeling Rules'!$C$8)*'Labeling Rules'!$D$8+(R136='Labeling Rules'!$C$9)*'Labeling Rules'!$D$9+(P136='Labeling Rules'!$C$10)*'Labeling Rules'!$D$10+(M136='Labeling Rules'!$C$11)*'Labeling Rules'!$D$11+(T136='Labeling Rules'!$C$12)*'Labeling Rules'!$D$12+(U136='Labeling Rules'!$C$13)*'Labeling Rules'!$D$13+(W136='Labeling Rules'!$C$14)*'Labeling Rules'!$D$14+(Y136='Labeling Rules'!$C$15)*'Labeling Rules'!$D$15</f>
        <v>6</v>
      </c>
      <c r="AI136" s="7" t="n">
        <f aca="false">IF(AH136&gt;='Labeling Rules'!$D$17,1,0)</f>
        <v>1</v>
      </c>
    </row>
    <row r="137" customFormat="false" ht="57" hidden="false" customHeight="true" outlineLevel="0" collapsed="false">
      <c r="A137" s="0" t="n">
        <v>136</v>
      </c>
      <c r="B137" s="6" t="n">
        <v>46160.6031597222</v>
      </c>
      <c r="C137" s="6" t="n">
        <v>46160.6134606482</v>
      </c>
      <c r="D137" s="8" t="s">
        <v>35</v>
      </c>
      <c r="E137" s="8"/>
      <c r="F137" s="9" t="s">
        <v>36</v>
      </c>
      <c r="G137" s="9" t="s">
        <v>37</v>
      </c>
      <c r="H137" s="9" t="s">
        <v>38</v>
      </c>
      <c r="I137" s="9" t="s">
        <v>64</v>
      </c>
      <c r="J137" s="9" t="s">
        <v>56</v>
      </c>
      <c r="K137" s="9" t="s">
        <v>41</v>
      </c>
      <c r="L137" s="9" t="s">
        <v>42</v>
      </c>
      <c r="M137" s="9" t="s">
        <v>43</v>
      </c>
      <c r="N137" s="9" t="s">
        <v>43</v>
      </c>
      <c r="O137" s="9" t="s">
        <v>45</v>
      </c>
      <c r="P137" s="9" t="s">
        <v>76</v>
      </c>
      <c r="Q137" s="9" t="s">
        <v>81</v>
      </c>
      <c r="R137" s="9" t="s">
        <v>42</v>
      </c>
      <c r="S137" s="9" t="s">
        <v>47</v>
      </c>
      <c r="T137" s="9" t="s">
        <v>48</v>
      </c>
      <c r="U137" s="9" t="s">
        <v>44</v>
      </c>
      <c r="V137" s="9" t="s">
        <v>49</v>
      </c>
      <c r="W137" s="9" t="s">
        <v>48</v>
      </c>
      <c r="X137" s="9" t="s">
        <v>76</v>
      </c>
      <c r="Y137" s="9" t="s">
        <v>42</v>
      </c>
      <c r="Z137" s="9" t="s">
        <v>83</v>
      </c>
      <c r="AA137" s="9" t="s">
        <v>67</v>
      </c>
      <c r="AB137" s="9" t="s">
        <v>49</v>
      </c>
      <c r="AC137" s="8" t="s">
        <v>245</v>
      </c>
      <c r="AD137" s="9" t="s">
        <v>76</v>
      </c>
      <c r="AE137" s="9" t="s">
        <v>44</v>
      </c>
      <c r="AF137" s="11" t="s">
        <v>266</v>
      </c>
      <c r="AG137" s="9" t="s">
        <v>267</v>
      </c>
      <c r="AH137" s="7" t="n">
        <f aca="false">(O137='Labeling Rules'!$C$6)*'Labeling Rules'!$D$6+(Q137='Labeling Rules'!$C$7)*'Labeling Rules'!$D$7+(R137='Labeling Rules'!$C$8)*'Labeling Rules'!$D$8+(R137='Labeling Rules'!$C$9)*'Labeling Rules'!$D$9+(P137='Labeling Rules'!$C$10)*'Labeling Rules'!$D$10+(M137='Labeling Rules'!$C$11)*'Labeling Rules'!$D$11+(T137='Labeling Rules'!$C$12)*'Labeling Rules'!$D$12+(U137='Labeling Rules'!$C$13)*'Labeling Rules'!$D$13+(W137='Labeling Rules'!$C$14)*'Labeling Rules'!$D$14+(Y137='Labeling Rules'!$C$15)*'Labeling Rules'!$D$15</f>
        <v>7</v>
      </c>
      <c r="AI137" s="7" t="n">
        <f aca="false">IF(AH137&gt;='Labeling Rules'!$D$17,1,0)</f>
        <v>1</v>
      </c>
    </row>
    <row r="138" customFormat="false" ht="57" hidden="false" customHeight="true" outlineLevel="0" collapsed="false">
      <c r="A138" s="0" t="n">
        <v>137</v>
      </c>
      <c r="B138" s="6" t="n">
        <v>46160.6501736111</v>
      </c>
      <c r="C138" s="6" t="n">
        <v>46160.6521990741</v>
      </c>
      <c r="D138" s="8" t="s">
        <v>35</v>
      </c>
      <c r="E138" s="8"/>
      <c r="F138" s="9" t="s">
        <v>36</v>
      </c>
      <c r="G138" s="9" t="s">
        <v>37</v>
      </c>
      <c r="H138" s="9" t="s">
        <v>38</v>
      </c>
      <c r="I138" s="9" t="s">
        <v>64</v>
      </c>
      <c r="J138" s="9" t="s">
        <v>56</v>
      </c>
      <c r="K138" s="9" t="s">
        <v>41</v>
      </c>
      <c r="L138" s="9" t="s">
        <v>42</v>
      </c>
      <c r="M138" s="9" t="s">
        <v>74</v>
      </c>
      <c r="N138" s="9" t="s">
        <v>75</v>
      </c>
      <c r="O138" s="9" t="s">
        <v>66</v>
      </c>
      <c r="P138" s="9" t="s">
        <v>42</v>
      </c>
      <c r="Q138" s="9" t="s">
        <v>58</v>
      </c>
      <c r="R138" s="9" t="s">
        <v>42</v>
      </c>
      <c r="S138" s="9" t="s">
        <v>47</v>
      </c>
      <c r="T138" s="9" t="s">
        <v>42</v>
      </c>
      <c r="U138" s="9" t="s">
        <v>49</v>
      </c>
      <c r="V138" s="9" t="s">
        <v>74</v>
      </c>
      <c r="W138" s="9" t="s">
        <v>42</v>
      </c>
      <c r="X138" s="9" t="s">
        <v>59</v>
      </c>
      <c r="Y138" s="9" t="s">
        <v>42</v>
      </c>
      <c r="Z138" s="9" t="s">
        <v>42</v>
      </c>
      <c r="AA138" s="9" t="s">
        <v>77</v>
      </c>
      <c r="AB138" s="9" t="s">
        <v>49</v>
      </c>
      <c r="AC138" s="8" t="s">
        <v>268</v>
      </c>
      <c r="AD138" s="9" t="s">
        <v>42</v>
      </c>
      <c r="AE138" s="9" t="s">
        <v>44</v>
      </c>
      <c r="AF138" s="11" t="s">
        <v>269</v>
      </c>
      <c r="AG138" s="9" t="s">
        <v>48</v>
      </c>
      <c r="AH138" s="7" t="n">
        <f aca="false">(O138='Labeling Rules'!$C$6)*'Labeling Rules'!$D$6+(Q138='Labeling Rules'!$C$7)*'Labeling Rules'!$D$7+(R138='Labeling Rules'!$C$8)*'Labeling Rules'!$D$8+(R138='Labeling Rules'!$C$9)*'Labeling Rules'!$D$9+(P138='Labeling Rules'!$C$10)*'Labeling Rules'!$D$10+(M138='Labeling Rules'!$C$11)*'Labeling Rules'!$D$11+(T138='Labeling Rules'!$C$12)*'Labeling Rules'!$D$12+(U138='Labeling Rules'!$C$13)*'Labeling Rules'!$D$13+(W138='Labeling Rules'!$C$14)*'Labeling Rules'!$D$14+(Y138='Labeling Rules'!$C$15)*'Labeling Rules'!$D$15</f>
        <v>5</v>
      </c>
      <c r="AI138" s="7" t="n">
        <f aca="false">IF(AH138&gt;='Labeling Rules'!$D$17,1,0)</f>
        <v>1</v>
      </c>
    </row>
    <row r="139" customFormat="false" ht="14.25" hidden="false" customHeight="false" outlineLevel="0" collapsed="false">
      <c r="A139" s="0" t="n">
        <v>138</v>
      </c>
      <c r="B139" s="6" t="n">
        <v>46160.8577662037</v>
      </c>
      <c r="C139" s="6" t="n">
        <v>46160.8603703704</v>
      </c>
      <c r="D139" s="8" t="s">
        <v>35</v>
      </c>
      <c r="E139" s="8"/>
      <c r="F139" s="9" t="s">
        <v>36</v>
      </c>
      <c r="G139" s="9" t="s">
        <v>37</v>
      </c>
      <c r="H139" s="9" t="s">
        <v>38</v>
      </c>
      <c r="I139" s="9" t="s">
        <v>55</v>
      </c>
      <c r="J139" s="9" t="s">
        <v>56</v>
      </c>
      <c r="K139" s="9" t="s">
        <v>41</v>
      </c>
      <c r="L139" s="9" t="s">
        <v>42</v>
      </c>
      <c r="M139" s="9" t="s">
        <v>74</v>
      </c>
      <c r="N139" s="9" t="s">
        <v>74</v>
      </c>
      <c r="O139" s="9" t="s">
        <v>57</v>
      </c>
      <c r="P139" s="9" t="s">
        <v>42</v>
      </c>
      <c r="Q139" s="9" t="s">
        <v>46</v>
      </c>
      <c r="R139" s="9" t="s">
        <v>48</v>
      </c>
      <c r="S139" s="9" t="s">
        <v>47</v>
      </c>
      <c r="T139" s="9" t="s">
        <v>48</v>
      </c>
      <c r="U139" s="9" t="s">
        <v>44</v>
      </c>
      <c r="V139" s="9" t="s">
        <v>82</v>
      </c>
      <c r="W139" s="9" t="s">
        <v>48</v>
      </c>
      <c r="X139" s="9" t="s">
        <v>76</v>
      </c>
      <c r="Y139" s="9" t="s">
        <v>48</v>
      </c>
      <c r="Z139" s="9" t="s">
        <v>50</v>
      </c>
      <c r="AA139" s="9" t="s">
        <v>67</v>
      </c>
      <c r="AB139" s="9" t="s">
        <v>42</v>
      </c>
      <c r="AC139" s="8" t="s">
        <v>245</v>
      </c>
      <c r="AD139" s="9" t="s">
        <v>48</v>
      </c>
      <c r="AE139" s="9" t="s">
        <v>49</v>
      </c>
      <c r="AF139" s="9" t="s">
        <v>270</v>
      </c>
      <c r="AG139" s="9" t="s">
        <v>109</v>
      </c>
      <c r="AH139" s="7" t="n">
        <f aca="false">(O139='Labeling Rules'!$C$6)*'Labeling Rules'!$D$6+(Q139='Labeling Rules'!$C$7)*'Labeling Rules'!$D$7+(R139='Labeling Rules'!$C$8)*'Labeling Rules'!$D$8+(R139='Labeling Rules'!$C$9)*'Labeling Rules'!$D$9+(P139='Labeling Rules'!$C$10)*'Labeling Rules'!$D$10+(M139='Labeling Rules'!$C$11)*'Labeling Rules'!$D$11+(T139='Labeling Rules'!$C$12)*'Labeling Rules'!$D$12+(U139='Labeling Rules'!$C$13)*'Labeling Rules'!$D$13+(W139='Labeling Rules'!$C$14)*'Labeling Rules'!$D$14+(Y139='Labeling Rules'!$C$15)*'Labeling Rules'!$D$15</f>
        <v>0</v>
      </c>
      <c r="AI139" s="7" t="n">
        <f aca="false">IF(AH139&gt;='Labeling Rules'!$D$17,1,0)</f>
        <v>0</v>
      </c>
    </row>
    <row r="140" customFormat="false" ht="72" hidden="false" customHeight="true" outlineLevel="0" collapsed="false">
      <c r="A140" s="0" t="n">
        <v>139</v>
      </c>
      <c r="B140" s="6" t="n">
        <v>46160.9204976852</v>
      </c>
      <c r="C140" s="6" t="n">
        <v>46160.9238194445</v>
      </c>
      <c r="D140" s="8" t="s">
        <v>35</v>
      </c>
      <c r="E140" s="8"/>
      <c r="F140" s="9" t="s">
        <v>63</v>
      </c>
      <c r="G140" s="9" t="s">
        <v>73</v>
      </c>
      <c r="H140" s="9" t="s">
        <v>38</v>
      </c>
      <c r="I140" s="9" t="s">
        <v>39</v>
      </c>
      <c r="J140" s="9" t="s">
        <v>56</v>
      </c>
      <c r="K140" s="9" t="s">
        <v>41</v>
      </c>
      <c r="L140" s="9" t="s">
        <v>42</v>
      </c>
      <c r="M140" s="9" t="s">
        <v>49</v>
      </c>
      <c r="N140" s="9" t="s">
        <v>74</v>
      </c>
      <c r="O140" s="9" t="s">
        <v>45</v>
      </c>
      <c r="P140" s="9" t="s">
        <v>42</v>
      </c>
      <c r="Q140" s="9" t="s">
        <v>46</v>
      </c>
      <c r="R140" s="9" t="s">
        <v>42</v>
      </c>
      <c r="S140" s="9" t="s">
        <v>42</v>
      </c>
      <c r="T140" s="9" t="s">
        <v>48</v>
      </c>
      <c r="U140" s="9" t="s">
        <v>44</v>
      </c>
      <c r="V140" s="9" t="s">
        <v>82</v>
      </c>
      <c r="W140" s="9" t="s">
        <v>48</v>
      </c>
      <c r="X140" s="9" t="s">
        <v>59</v>
      </c>
      <c r="Y140" s="9" t="s">
        <v>48</v>
      </c>
      <c r="Z140" s="9" t="s">
        <v>50</v>
      </c>
      <c r="AA140" s="9" t="s">
        <v>51</v>
      </c>
      <c r="AB140" s="9" t="s">
        <v>49</v>
      </c>
      <c r="AC140" s="8" t="s">
        <v>221</v>
      </c>
      <c r="AD140" s="9" t="s">
        <v>48</v>
      </c>
      <c r="AE140" s="9" t="s">
        <v>49</v>
      </c>
      <c r="AF140" s="11" t="s">
        <v>271</v>
      </c>
      <c r="AG140" s="9" t="s">
        <v>272</v>
      </c>
      <c r="AH140" s="7" t="n">
        <f aca="false">(O140='Labeling Rules'!$C$6)*'Labeling Rules'!$D$6+(Q140='Labeling Rules'!$C$7)*'Labeling Rules'!$D$7+(R140='Labeling Rules'!$C$8)*'Labeling Rules'!$D$8+(R140='Labeling Rules'!$C$9)*'Labeling Rules'!$D$9+(P140='Labeling Rules'!$C$10)*'Labeling Rules'!$D$10+(M140='Labeling Rules'!$C$11)*'Labeling Rules'!$D$11+(T140='Labeling Rules'!$C$12)*'Labeling Rules'!$D$12+(U140='Labeling Rules'!$C$13)*'Labeling Rules'!$D$13+(W140='Labeling Rules'!$C$14)*'Labeling Rules'!$D$14+(Y140='Labeling Rules'!$C$15)*'Labeling Rules'!$D$15</f>
        <v>4</v>
      </c>
      <c r="AI140" s="7" t="n">
        <f aca="false">IF(AH140&gt;='Labeling Rules'!$D$17,1,0)</f>
        <v>0</v>
      </c>
    </row>
    <row r="141" customFormat="false" ht="14.25" hidden="false" customHeight="false" outlineLevel="0" collapsed="false">
      <c r="A141" s="0" t="n">
        <v>140</v>
      </c>
      <c r="B141" s="6" t="n">
        <v>46160.9292939815</v>
      </c>
      <c r="C141" s="6" t="n">
        <v>46160.9351157407</v>
      </c>
      <c r="D141" s="8" t="s">
        <v>35</v>
      </c>
      <c r="E141" s="8"/>
      <c r="F141" s="9" t="s">
        <v>63</v>
      </c>
      <c r="G141" s="9" t="s">
        <v>37</v>
      </c>
      <c r="H141" s="9" t="s">
        <v>38</v>
      </c>
      <c r="I141" s="9" t="s">
        <v>39</v>
      </c>
      <c r="J141" s="9" t="s">
        <v>40</v>
      </c>
      <c r="K141" s="9" t="s">
        <v>41</v>
      </c>
      <c r="L141" s="9" t="s">
        <v>42</v>
      </c>
      <c r="M141" s="9" t="s">
        <v>49</v>
      </c>
      <c r="N141" s="9" t="s">
        <v>49</v>
      </c>
      <c r="O141" s="9" t="s">
        <v>66</v>
      </c>
      <c r="P141" s="9" t="s">
        <v>76</v>
      </c>
      <c r="Q141" s="9" t="s">
        <v>58</v>
      </c>
      <c r="R141" s="9" t="s">
        <v>48</v>
      </c>
      <c r="S141" s="9" t="s">
        <v>47</v>
      </c>
      <c r="T141" s="9" t="s">
        <v>48</v>
      </c>
      <c r="U141" s="9" t="s">
        <v>44</v>
      </c>
      <c r="V141" s="9" t="s">
        <v>49</v>
      </c>
      <c r="W141" s="9" t="s">
        <v>48</v>
      </c>
      <c r="X141" s="9" t="s">
        <v>76</v>
      </c>
      <c r="Y141" s="9" t="s">
        <v>48</v>
      </c>
      <c r="Z141" s="9" t="s">
        <v>50</v>
      </c>
      <c r="AA141" s="9" t="s">
        <v>67</v>
      </c>
      <c r="AB141" s="9" t="s">
        <v>42</v>
      </c>
      <c r="AC141" s="8" t="s">
        <v>245</v>
      </c>
      <c r="AD141" s="9" t="s">
        <v>76</v>
      </c>
      <c r="AE141" s="9" t="s">
        <v>49</v>
      </c>
      <c r="AF141" s="9" t="s">
        <v>273</v>
      </c>
      <c r="AG141" s="9" t="s">
        <v>274</v>
      </c>
      <c r="AH141" s="7" t="n">
        <f aca="false">(O141='Labeling Rules'!$C$6)*'Labeling Rules'!$D$6+(Q141='Labeling Rules'!$C$7)*'Labeling Rules'!$D$7+(R141='Labeling Rules'!$C$8)*'Labeling Rules'!$D$8+(R141='Labeling Rules'!$C$9)*'Labeling Rules'!$D$9+(P141='Labeling Rules'!$C$10)*'Labeling Rules'!$D$10+(M141='Labeling Rules'!$C$11)*'Labeling Rules'!$D$11+(T141='Labeling Rules'!$C$12)*'Labeling Rules'!$D$12+(U141='Labeling Rules'!$C$13)*'Labeling Rules'!$D$13+(W141='Labeling Rules'!$C$14)*'Labeling Rules'!$D$14+(Y141='Labeling Rules'!$C$15)*'Labeling Rules'!$D$15</f>
        <v>0</v>
      </c>
      <c r="AI141" s="7" t="n">
        <f aca="false">IF(AH141&gt;='Labeling Rules'!$D$17,1,0)</f>
        <v>0</v>
      </c>
    </row>
    <row r="142" customFormat="false" ht="14.25" hidden="false" customHeight="false" outlineLevel="0" collapsed="false">
      <c r="A142" s="0" t="n">
        <v>141</v>
      </c>
      <c r="B142" s="6" t="n">
        <v>46160.9386574074</v>
      </c>
      <c r="C142" s="6" t="n">
        <v>46160.9428819444</v>
      </c>
      <c r="D142" s="8" t="s">
        <v>35</v>
      </c>
      <c r="E142" s="8"/>
      <c r="F142" s="9" t="s">
        <v>63</v>
      </c>
      <c r="G142" s="9" t="s">
        <v>37</v>
      </c>
      <c r="H142" s="9" t="s">
        <v>38</v>
      </c>
      <c r="I142" s="9" t="s">
        <v>64</v>
      </c>
      <c r="J142" s="9" t="s">
        <v>56</v>
      </c>
      <c r="K142" s="9" t="s">
        <v>41</v>
      </c>
      <c r="L142" s="9" t="s">
        <v>42</v>
      </c>
      <c r="M142" s="9" t="s">
        <v>43</v>
      </c>
      <c r="N142" s="9" t="s">
        <v>43</v>
      </c>
      <c r="O142" s="9" t="s">
        <v>45</v>
      </c>
      <c r="P142" s="9" t="s">
        <v>42</v>
      </c>
      <c r="Q142" s="9" t="s">
        <v>58</v>
      </c>
      <c r="R142" s="9" t="s">
        <v>49</v>
      </c>
      <c r="S142" s="9" t="s">
        <v>47</v>
      </c>
      <c r="T142" s="9" t="s">
        <v>48</v>
      </c>
      <c r="U142" s="9" t="s">
        <v>44</v>
      </c>
      <c r="V142" s="9" t="s">
        <v>82</v>
      </c>
      <c r="W142" s="9" t="s">
        <v>48</v>
      </c>
      <c r="X142" s="9" t="s">
        <v>76</v>
      </c>
      <c r="Y142" s="9" t="s">
        <v>48</v>
      </c>
      <c r="Z142" s="9" t="s">
        <v>50</v>
      </c>
      <c r="AA142" s="9" t="s">
        <v>77</v>
      </c>
      <c r="AB142" s="9" t="s">
        <v>49</v>
      </c>
      <c r="AC142" s="8" t="s">
        <v>221</v>
      </c>
      <c r="AD142" s="9" t="s">
        <v>42</v>
      </c>
      <c r="AE142" s="9" t="s">
        <v>49</v>
      </c>
      <c r="AF142" s="9" t="s">
        <v>275</v>
      </c>
      <c r="AG142" s="9" t="s">
        <v>48</v>
      </c>
      <c r="AH142" s="7" t="n">
        <f aca="false">(O142='Labeling Rules'!$C$6)*'Labeling Rules'!$D$6+(Q142='Labeling Rules'!$C$7)*'Labeling Rules'!$D$7+(R142='Labeling Rules'!$C$8)*'Labeling Rules'!$D$8+(R142='Labeling Rules'!$C$9)*'Labeling Rules'!$D$9+(P142='Labeling Rules'!$C$10)*'Labeling Rules'!$D$10+(M142='Labeling Rules'!$C$11)*'Labeling Rules'!$D$11+(T142='Labeling Rules'!$C$12)*'Labeling Rules'!$D$12+(U142='Labeling Rules'!$C$13)*'Labeling Rules'!$D$13+(W142='Labeling Rules'!$C$14)*'Labeling Rules'!$D$14+(Y142='Labeling Rules'!$C$15)*'Labeling Rules'!$D$15</f>
        <v>3</v>
      </c>
      <c r="AI142" s="7" t="n">
        <f aca="false">IF(AH142&gt;='Labeling Rules'!$D$17,1,0)</f>
        <v>0</v>
      </c>
    </row>
    <row r="143" customFormat="false" ht="14.25" hidden="false" customHeight="false" outlineLevel="0" collapsed="false">
      <c r="A143" s="0" t="n">
        <v>142</v>
      </c>
      <c r="B143" s="6" t="n">
        <v>46161.0234953704</v>
      </c>
      <c r="C143" s="6" t="n">
        <v>46161.0250462963</v>
      </c>
      <c r="D143" s="8" t="s">
        <v>35</v>
      </c>
      <c r="E143" s="8"/>
      <c r="F143" s="9" t="s">
        <v>36</v>
      </c>
      <c r="G143" s="9" t="s">
        <v>37</v>
      </c>
      <c r="H143" s="9" t="s">
        <v>38</v>
      </c>
      <c r="I143" s="9" t="s">
        <v>80</v>
      </c>
      <c r="J143" s="9" t="s">
        <v>56</v>
      </c>
      <c r="K143" s="9" t="s">
        <v>41</v>
      </c>
      <c r="L143" s="9" t="s">
        <v>42</v>
      </c>
      <c r="M143" s="9" t="s">
        <v>44</v>
      </c>
      <c r="N143" s="9" t="s">
        <v>44</v>
      </c>
      <c r="O143" s="9" t="s">
        <v>45</v>
      </c>
      <c r="P143" s="9" t="s">
        <v>76</v>
      </c>
      <c r="Q143" s="9" t="s">
        <v>46</v>
      </c>
      <c r="R143" s="9" t="s">
        <v>49</v>
      </c>
      <c r="S143" s="9" t="s">
        <v>48</v>
      </c>
      <c r="T143" s="9" t="s">
        <v>42</v>
      </c>
      <c r="U143" s="9" t="s">
        <v>44</v>
      </c>
      <c r="V143" s="9" t="s">
        <v>82</v>
      </c>
      <c r="W143" s="9" t="s">
        <v>48</v>
      </c>
      <c r="X143" s="9" t="s">
        <v>59</v>
      </c>
      <c r="Y143" s="9" t="s">
        <v>48</v>
      </c>
      <c r="Z143" s="9" t="s">
        <v>50</v>
      </c>
      <c r="AA143" s="9" t="s">
        <v>77</v>
      </c>
      <c r="AB143" s="9" t="s">
        <v>42</v>
      </c>
      <c r="AC143" s="8" t="s">
        <v>259</v>
      </c>
      <c r="AD143" s="9" t="s">
        <v>76</v>
      </c>
      <c r="AE143" s="9" t="s">
        <v>44</v>
      </c>
      <c r="AF143" s="8" t="s">
        <v>62</v>
      </c>
      <c r="AG143" s="8" t="s">
        <v>62</v>
      </c>
      <c r="AH143" s="7" t="n">
        <f aca="false">(O143='Labeling Rules'!$C$6)*'Labeling Rules'!$D$6+(Q143='Labeling Rules'!$C$7)*'Labeling Rules'!$D$7+(R143='Labeling Rules'!$C$8)*'Labeling Rules'!$D$8+(R143='Labeling Rules'!$C$9)*'Labeling Rules'!$D$9+(P143='Labeling Rules'!$C$10)*'Labeling Rules'!$D$10+(M143='Labeling Rules'!$C$11)*'Labeling Rules'!$D$11+(T143='Labeling Rules'!$C$12)*'Labeling Rules'!$D$12+(U143='Labeling Rules'!$C$13)*'Labeling Rules'!$D$13+(W143='Labeling Rules'!$C$14)*'Labeling Rules'!$D$14+(Y143='Labeling Rules'!$C$15)*'Labeling Rules'!$D$15</f>
        <v>5</v>
      </c>
      <c r="AI143" s="7" t="n">
        <f aca="false">IF(AH143&gt;='Labeling Rules'!$D$17,1,0)</f>
        <v>1</v>
      </c>
    </row>
    <row r="144" customFormat="false" ht="14.25" hidden="false" customHeight="false" outlineLevel="0" collapsed="false">
      <c r="A144" s="0" t="n">
        <v>143</v>
      </c>
      <c r="B144" s="6" t="n">
        <v>46161.4895023148</v>
      </c>
      <c r="C144" s="6" t="n">
        <v>46161.4940856482</v>
      </c>
      <c r="D144" s="8" t="s">
        <v>35</v>
      </c>
      <c r="E144" s="8"/>
      <c r="F144" s="9" t="s">
        <v>36</v>
      </c>
      <c r="G144" s="9" t="s">
        <v>37</v>
      </c>
      <c r="H144" s="9" t="s">
        <v>38</v>
      </c>
      <c r="I144" s="9" t="s">
        <v>64</v>
      </c>
      <c r="J144" s="9" t="s">
        <v>56</v>
      </c>
      <c r="K144" s="9" t="s">
        <v>41</v>
      </c>
      <c r="L144" s="9" t="s">
        <v>42</v>
      </c>
      <c r="M144" s="9" t="s">
        <v>43</v>
      </c>
      <c r="N144" s="9" t="s">
        <v>43</v>
      </c>
      <c r="O144" s="9" t="s">
        <v>66</v>
      </c>
      <c r="P144" s="9" t="s">
        <v>76</v>
      </c>
      <c r="Q144" s="9" t="s">
        <v>46</v>
      </c>
      <c r="R144" s="9" t="s">
        <v>49</v>
      </c>
      <c r="S144" s="9" t="s">
        <v>47</v>
      </c>
      <c r="T144" s="9" t="s">
        <v>48</v>
      </c>
      <c r="U144" s="9" t="s">
        <v>44</v>
      </c>
      <c r="V144" s="9" t="s">
        <v>49</v>
      </c>
      <c r="W144" s="9" t="s">
        <v>48</v>
      </c>
      <c r="X144" s="9" t="s">
        <v>76</v>
      </c>
      <c r="Y144" s="9" t="s">
        <v>42</v>
      </c>
      <c r="Z144" s="9" t="s">
        <v>83</v>
      </c>
      <c r="AA144" s="9" t="s">
        <v>77</v>
      </c>
      <c r="AB144" s="9" t="s">
        <v>49</v>
      </c>
      <c r="AC144" s="8" t="s">
        <v>221</v>
      </c>
      <c r="AD144" s="9" t="s">
        <v>76</v>
      </c>
      <c r="AE144" s="9" t="s">
        <v>49</v>
      </c>
      <c r="AF144" s="8" t="s">
        <v>62</v>
      </c>
      <c r="AG144" s="8" t="s">
        <v>62</v>
      </c>
      <c r="AH144" s="7" t="n">
        <f aca="false">(O144='Labeling Rules'!$C$6)*'Labeling Rules'!$D$6+(Q144='Labeling Rules'!$C$7)*'Labeling Rules'!$D$7+(R144='Labeling Rules'!$C$8)*'Labeling Rules'!$D$8+(R144='Labeling Rules'!$C$9)*'Labeling Rules'!$D$9+(P144='Labeling Rules'!$C$10)*'Labeling Rules'!$D$10+(M144='Labeling Rules'!$C$11)*'Labeling Rules'!$D$11+(T144='Labeling Rules'!$C$12)*'Labeling Rules'!$D$12+(U144='Labeling Rules'!$C$13)*'Labeling Rules'!$D$13+(W144='Labeling Rules'!$C$14)*'Labeling Rules'!$D$14+(Y144='Labeling Rules'!$C$15)*'Labeling Rules'!$D$15</f>
        <v>2</v>
      </c>
      <c r="AI144" s="7" t="n">
        <f aca="false">IF(AH144&gt;='Labeling Rules'!$D$17,1,0)</f>
        <v>0</v>
      </c>
    </row>
    <row r="145" customFormat="false" ht="14.25" hidden="false" customHeight="false" outlineLevel="0" collapsed="false">
      <c r="A145" s="0" t="n">
        <v>144</v>
      </c>
      <c r="B145" s="6" t="n">
        <v>46161.5008101852</v>
      </c>
      <c r="C145" s="6" t="n">
        <v>46161.5027893519</v>
      </c>
      <c r="D145" s="8" t="s">
        <v>35</v>
      </c>
      <c r="E145" s="8"/>
      <c r="F145" s="9" t="s">
        <v>63</v>
      </c>
      <c r="G145" s="9" t="s">
        <v>37</v>
      </c>
      <c r="H145" s="9" t="s">
        <v>38</v>
      </c>
      <c r="I145" s="9" t="s">
        <v>80</v>
      </c>
      <c r="J145" s="9" t="s">
        <v>56</v>
      </c>
      <c r="K145" s="9" t="s">
        <v>41</v>
      </c>
      <c r="L145" s="9" t="s">
        <v>42</v>
      </c>
      <c r="M145" s="9" t="s">
        <v>43</v>
      </c>
      <c r="N145" s="9" t="s">
        <v>44</v>
      </c>
      <c r="O145" s="9" t="s">
        <v>66</v>
      </c>
      <c r="P145" s="9" t="s">
        <v>76</v>
      </c>
      <c r="Q145" s="9" t="s">
        <v>58</v>
      </c>
      <c r="R145" s="9" t="s">
        <v>49</v>
      </c>
      <c r="S145" s="9" t="s">
        <v>47</v>
      </c>
      <c r="T145" s="9" t="s">
        <v>48</v>
      </c>
      <c r="U145" s="9" t="s">
        <v>48</v>
      </c>
      <c r="V145" s="9" t="s">
        <v>74</v>
      </c>
      <c r="W145" s="9" t="s">
        <v>48</v>
      </c>
      <c r="X145" s="9" t="s">
        <v>59</v>
      </c>
      <c r="Y145" s="9" t="s">
        <v>48</v>
      </c>
      <c r="Z145" s="9" t="s">
        <v>50</v>
      </c>
      <c r="AA145" s="9" t="s">
        <v>60</v>
      </c>
      <c r="AB145" s="9" t="s">
        <v>48</v>
      </c>
      <c r="AC145" s="8" t="s">
        <v>235</v>
      </c>
      <c r="AD145" s="9" t="s">
        <v>42</v>
      </c>
      <c r="AE145" s="9" t="s">
        <v>49</v>
      </c>
      <c r="AF145" s="9" t="s">
        <v>276</v>
      </c>
      <c r="AG145" s="9" t="s">
        <v>42</v>
      </c>
      <c r="AH145" s="7" t="n">
        <f aca="false">(O145='Labeling Rules'!$C$6)*'Labeling Rules'!$D$6+(Q145='Labeling Rules'!$C$7)*'Labeling Rules'!$D$7+(R145='Labeling Rules'!$C$8)*'Labeling Rules'!$D$8+(R145='Labeling Rules'!$C$9)*'Labeling Rules'!$D$9+(P145='Labeling Rules'!$C$10)*'Labeling Rules'!$D$10+(M145='Labeling Rules'!$C$11)*'Labeling Rules'!$D$11+(T145='Labeling Rules'!$C$12)*'Labeling Rules'!$D$12+(U145='Labeling Rules'!$C$13)*'Labeling Rules'!$D$13+(W145='Labeling Rules'!$C$14)*'Labeling Rules'!$D$14+(Y145='Labeling Rules'!$C$15)*'Labeling Rules'!$D$15</f>
        <v>2</v>
      </c>
      <c r="AI145" s="7" t="n">
        <f aca="false">IF(AH145&gt;='Labeling Rules'!$D$17,1,0)</f>
        <v>0</v>
      </c>
    </row>
    <row r="146" customFormat="false" ht="14.25" hidden="false" customHeight="false" outlineLevel="0" collapsed="false">
      <c r="A146" s="0" t="n">
        <v>145</v>
      </c>
      <c r="B146" s="6" t="n">
        <v>46161.5965972222</v>
      </c>
      <c r="C146" s="6" t="n">
        <v>46161.6001736111</v>
      </c>
      <c r="D146" s="8" t="s">
        <v>35</v>
      </c>
      <c r="E146" s="8"/>
      <c r="F146" s="9" t="s">
        <v>36</v>
      </c>
      <c r="G146" s="9" t="s">
        <v>73</v>
      </c>
      <c r="H146" s="9" t="s">
        <v>38</v>
      </c>
      <c r="I146" s="9" t="s">
        <v>55</v>
      </c>
      <c r="J146" s="9" t="s">
        <v>56</v>
      </c>
      <c r="K146" s="9" t="s">
        <v>41</v>
      </c>
      <c r="L146" s="9" t="s">
        <v>42</v>
      </c>
      <c r="M146" s="9" t="s">
        <v>74</v>
      </c>
      <c r="N146" s="9" t="s">
        <v>49</v>
      </c>
      <c r="O146" s="9" t="s">
        <v>45</v>
      </c>
      <c r="P146" s="9" t="s">
        <v>76</v>
      </c>
      <c r="Q146" s="9" t="s">
        <v>46</v>
      </c>
      <c r="R146" s="9" t="s">
        <v>42</v>
      </c>
      <c r="S146" s="9" t="s">
        <v>47</v>
      </c>
      <c r="T146" s="9" t="s">
        <v>48</v>
      </c>
      <c r="U146" s="9" t="s">
        <v>49</v>
      </c>
      <c r="V146" s="9" t="s">
        <v>49</v>
      </c>
      <c r="W146" s="9" t="s">
        <v>48</v>
      </c>
      <c r="X146" s="9" t="s">
        <v>76</v>
      </c>
      <c r="Y146" s="9" t="s">
        <v>48</v>
      </c>
      <c r="Z146" s="9" t="s">
        <v>50</v>
      </c>
      <c r="AA146" s="9" t="s">
        <v>51</v>
      </c>
      <c r="AB146" s="9" t="s">
        <v>49</v>
      </c>
      <c r="AC146" s="8" t="s">
        <v>235</v>
      </c>
      <c r="AD146" s="9" t="s">
        <v>48</v>
      </c>
      <c r="AE146" s="9" t="s">
        <v>49</v>
      </c>
      <c r="AF146" s="9" t="s">
        <v>277</v>
      </c>
      <c r="AG146" s="9" t="s">
        <v>48</v>
      </c>
      <c r="AH146" s="7" t="n">
        <f aca="false">(O146='Labeling Rules'!$C$6)*'Labeling Rules'!$D$6+(Q146='Labeling Rules'!$C$7)*'Labeling Rules'!$D$7+(R146='Labeling Rules'!$C$8)*'Labeling Rules'!$D$8+(R146='Labeling Rules'!$C$9)*'Labeling Rules'!$D$9+(P146='Labeling Rules'!$C$10)*'Labeling Rules'!$D$10+(M146='Labeling Rules'!$C$11)*'Labeling Rules'!$D$11+(T146='Labeling Rules'!$C$12)*'Labeling Rules'!$D$12+(U146='Labeling Rules'!$C$13)*'Labeling Rules'!$D$13+(W146='Labeling Rules'!$C$14)*'Labeling Rules'!$D$14+(Y146='Labeling Rules'!$C$15)*'Labeling Rules'!$D$15</f>
        <v>4</v>
      </c>
      <c r="AI146" s="7" t="n">
        <f aca="false">IF(AH146&gt;='Labeling Rules'!$D$17,1,0)</f>
        <v>0</v>
      </c>
    </row>
    <row r="147" customFormat="false" ht="14.25" hidden="false" customHeight="false" outlineLevel="0" collapsed="false">
      <c r="A147" s="0" t="n">
        <v>146</v>
      </c>
      <c r="B147" s="6" t="n">
        <v>46161.6025578704</v>
      </c>
      <c r="C147" s="6" t="n">
        <v>46161.6066782407</v>
      </c>
      <c r="D147" s="8" t="s">
        <v>35</v>
      </c>
      <c r="E147" s="8"/>
      <c r="F147" s="9" t="s">
        <v>36</v>
      </c>
      <c r="G147" s="9" t="s">
        <v>137</v>
      </c>
      <c r="H147" s="9" t="s">
        <v>38</v>
      </c>
      <c r="I147" s="9" t="s">
        <v>55</v>
      </c>
      <c r="J147" s="9" t="s">
        <v>56</v>
      </c>
      <c r="K147" s="9" t="s">
        <v>41</v>
      </c>
      <c r="L147" s="9" t="s">
        <v>42</v>
      </c>
      <c r="M147" s="9" t="s">
        <v>44</v>
      </c>
      <c r="N147" s="9" t="s">
        <v>43</v>
      </c>
      <c r="O147" s="9" t="s">
        <v>45</v>
      </c>
      <c r="P147" s="9" t="s">
        <v>42</v>
      </c>
      <c r="Q147" s="9" t="s">
        <v>58</v>
      </c>
      <c r="R147" s="9" t="s">
        <v>49</v>
      </c>
      <c r="S147" s="9" t="s">
        <v>47</v>
      </c>
      <c r="T147" s="9" t="s">
        <v>48</v>
      </c>
      <c r="U147" s="9" t="s">
        <v>44</v>
      </c>
      <c r="V147" s="9" t="s">
        <v>49</v>
      </c>
      <c r="W147" s="9" t="s">
        <v>48</v>
      </c>
      <c r="X147" s="9" t="s">
        <v>59</v>
      </c>
      <c r="Y147" s="9" t="s">
        <v>42</v>
      </c>
      <c r="Z147" s="9" t="s">
        <v>83</v>
      </c>
      <c r="AA147" s="9" t="s">
        <v>67</v>
      </c>
      <c r="AB147" s="9" t="s">
        <v>49</v>
      </c>
      <c r="AC147" s="8" t="s">
        <v>259</v>
      </c>
      <c r="AD147" s="9" t="s">
        <v>76</v>
      </c>
      <c r="AE147" s="9" t="s">
        <v>49</v>
      </c>
      <c r="AF147" s="9" t="s">
        <v>278</v>
      </c>
      <c r="AG147" s="9" t="s">
        <v>48</v>
      </c>
      <c r="AH147" s="7" t="n">
        <f aca="false">(O147='Labeling Rules'!$C$6)*'Labeling Rules'!$D$6+(Q147='Labeling Rules'!$C$7)*'Labeling Rules'!$D$7+(R147='Labeling Rules'!$C$8)*'Labeling Rules'!$D$8+(R147='Labeling Rules'!$C$9)*'Labeling Rules'!$D$9+(P147='Labeling Rules'!$C$10)*'Labeling Rules'!$D$10+(M147='Labeling Rules'!$C$11)*'Labeling Rules'!$D$11+(T147='Labeling Rules'!$C$12)*'Labeling Rules'!$D$12+(U147='Labeling Rules'!$C$13)*'Labeling Rules'!$D$13+(W147='Labeling Rules'!$C$14)*'Labeling Rules'!$D$14+(Y147='Labeling Rules'!$C$15)*'Labeling Rules'!$D$15</f>
        <v>5</v>
      </c>
      <c r="AI147" s="7" t="n">
        <f aca="false">IF(AH147&gt;='Labeling Rules'!$D$17,1,0)</f>
        <v>1</v>
      </c>
    </row>
    <row r="148" customFormat="false" ht="14.25" hidden="false" customHeight="false" outlineLevel="0" collapsed="false">
      <c r="A148" s="0" t="n">
        <v>147</v>
      </c>
      <c r="B148" s="6" t="n">
        <v>46161.6103819445</v>
      </c>
      <c r="C148" s="6" t="n">
        <v>46161.6117939815</v>
      </c>
      <c r="D148" s="8" t="s">
        <v>35</v>
      </c>
      <c r="E148" s="8"/>
      <c r="F148" s="9" t="s">
        <v>36</v>
      </c>
      <c r="G148" s="9" t="s">
        <v>137</v>
      </c>
      <c r="H148" s="9" t="s">
        <v>38</v>
      </c>
      <c r="I148" s="9" t="s">
        <v>155</v>
      </c>
      <c r="J148" s="9" t="s">
        <v>56</v>
      </c>
      <c r="K148" s="9" t="s">
        <v>41</v>
      </c>
      <c r="L148" s="9" t="s">
        <v>48</v>
      </c>
      <c r="M148" s="9" t="s">
        <v>74</v>
      </c>
      <c r="N148" s="9" t="s">
        <v>49</v>
      </c>
      <c r="O148" s="9" t="s">
        <v>66</v>
      </c>
      <c r="P148" s="9" t="s">
        <v>76</v>
      </c>
      <c r="Q148" s="9" t="s">
        <v>58</v>
      </c>
      <c r="R148" s="9" t="s">
        <v>49</v>
      </c>
      <c r="S148" s="9" t="s">
        <v>48</v>
      </c>
      <c r="T148" s="9" t="s">
        <v>42</v>
      </c>
      <c r="U148" s="9" t="s">
        <v>48</v>
      </c>
      <c r="V148" s="9" t="s">
        <v>74</v>
      </c>
      <c r="W148" s="9" t="s">
        <v>48</v>
      </c>
      <c r="X148" s="9" t="s">
        <v>59</v>
      </c>
      <c r="Y148" s="9" t="s">
        <v>42</v>
      </c>
      <c r="Z148" s="9" t="s">
        <v>83</v>
      </c>
      <c r="AA148" s="9" t="s">
        <v>77</v>
      </c>
      <c r="AB148" s="9" t="s">
        <v>49</v>
      </c>
      <c r="AC148" s="8" t="s">
        <v>245</v>
      </c>
      <c r="AD148" s="9" t="s">
        <v>76</v>
      </c>
      <c r="AE148" s="9" t="s">
        <v>44</v>
      </c>
      <c r="AF148" s="8" t="s">
        <v>279</v>
      </c>
      <c r="AG148" s="8" t="s">
        <v>279</v>
      </c>
      <c r="AH148" s="7" t="n">
        <f aca="false">(O148='Labeling Rules'!$C$6)*'Labeling Rules'!$D$6+(Q148='Labeling Rules'!$C$7)*'Labeling Rules'!$D$7+(R148='Labeling Rules'!$C$8)*'Labeling Rules'!$D$8+(R148='Labeling Rules'!$C$9)*'Labeling Rules'!$D$9+(P148='Labeling Rules'!$C$10)*'Labeling Rules'!$D$10+(M148='Labeling Rules'!$C$11)*'Labeling Rules'!$D$11+(T148='Labeling Rules'!$C$12)*'Labeling Rules'!$D$12+(U148='Labeling Rules'!$C$13)*'Labeling Rules'!$D$13+(W148='Labeling Rules'!$C$14)*'Labeling Rules'!$D$14+(Y148='Labeling Rules'!$C$15)*'Labeling Rules'!$D$15</f>
        <v>4</v>
      </c>
      <c r="AI148" s="7" t="n">
        <f aca="false">IF(AH148&gt;='Labeling Rules'!$D$17,1,0)</f>
        <v>0</v>
      </c>
    </row>
    <row r="149" customFormat="false" ht="14.25" hidden="false" customHeight="false" outlineLevel="0" collapsed="false">
      <c r="A149" s="0" t="n">
        <v>148</v>
      </c>
      <c r="B149" s="6" t="n">
        <v>46161.6129050926</v>
      </c>
      <c r="C149" s="6" t="n">
        <v>46161.6365277778</v>
      </c>
      <c r="D149" s="8" t="s">
        <v>35</v>
      </c>
      <c r="E149" s="8"/>
      <c r="F149" s="9" t="s">
        <v>36</v>
      </c>
      <c r="G149" s="9" t="s">
        <v>73</v>
      </c>
      <c r="H149" s="9" t="s">
        <v>280</v>
      </c>
      <c r="I149" s="9" t="s">
        <v>80</v>
      </c>
      <c r="J149" s="9" t="s">
        <v>56</v>
      </c>
      <c r="K149" s="9" t="s">
        <v>97</v>
      </c>
      <c r="L149" s="9" t="s">
        <v>42</v>
      </c>
      <c r="M149" s="9" t="s">
        <v>44</v>
      </c>
      <c r="N149" s="9" t="s">
        <v>44</v>
      </c>
      <c r="O149" s="9" t="s">
        <v>57</v>
      </c>
      <c r="P149" s="9" t="s">
        <v>42</v>
      </c>
      <c r="Q149" s="9" t="s">
        <v>58</v>
      </c>
      <c r="R149" s="9" t="s">
        <v>42</v>
      </c>
      <c r="S149" s="9" t="s">
        <v>47</v>
      </c>
      <c r="T149" s="9" t="s">
        <v>42</v>
      </c>
      <c r="U149" s="9" t="s">
        <v>49</v>
      </c>
      <c r="V149" s="9" t="s">
        <v>74</v>
      </c>
      <c r="W149" s="9" t="s">
        <v>42</v>
      </c>
      <c r="X149" s="9" t="s">
        <v>59</v>
      </c>
      <c r="Y149" s="9" t="s">
        <v>42</v>
      </c>
      <c r="Z149" s="9" t="s">
        <v>83</v>
      </c>
      <c r="AA149" s="9" t="s">
        <v>77</v>
      </c>
      <c r="AB149" s="9" t="s">
        <v>49</v>
      </c>
      <c r="AC149" s="8" t="s">
        <v>235</v>
      </c>
      <c r="AD149" s="9" t="s">
        <v>76</v>
      </c>
      <c r="AE149" s="9" t="s">
        <v>49</v>
      </c>
      <c r="AF149" s="9" t="s">
        <v>281</v>
      </c>
      <c r="AG149" s="9" t="s">
        <v>42</v>
      </c>
      <c r="AH149" s="7" t="n">
        <f aca="false">(O149='Labeling Rules'!$C$6)*'Labeling Rules'!$D$6+(Q149='Labeling Rules'!$C$7)*'Labeling Rules'!$D$7+(R149='Labeling Rules'!$C$8)*'Labeling Rules'!$D$8+(R149='Labeling Rules'!$C$9)*'Labeling Rules'!$D$9+(P149='Labeling Rules'!$C$10)*'Labeling Rules'!$D$10+(M149='Labeling Rules'!$C$11)*'Labeling Rules'!$D$11+(T149='Labeling Rules'!$C$12)*'Labeling Rules'!$D$12+(U149='Labeling Rules'!$C$13)*'Labeling Rules'!$D$13+(W149='Labeling Rules'!$C$14)*'Labeling Rules'!$D$14+(Y149='Labeling Rules'!$C$15)*'Labeling Rules'!$D$15</f>
        <v>6</v>
      </c>
      <c r="AI149" s="7" t="n">
        <f aca="false">IF(AH149&gt;='Labeling Rules'!$D$17,1,0)</f>
        <v>1</v>
      </c>
    </row>
    <row r="150" customFormat="false" ht="273" hidden="false" customHeight="true" outlineLevel="0" collapsed="false">
      <c r="A150" s="0" t="n">
        <v>149</v>
      </c>
      <c r="B150" s="6" t="n">
        <v>46161.6420717593</v>
      </c>
      <c r="C150" s="6" t="n">
        <v>46161.6481365741</v>
      </c>
      <c r="D150" s="8" t="s">
        <v>35</v>
      </c>
      <c r="E150" s="8"/>
      <c r="F150" s="9" t="s">
        <v>36</v>
      </c>
      <c r="G150" s="9" t="s">
        <v>163</v>
      </c>
      <c r="H150" s="9" t="s">
        <v>38</v>
      </c>
      <c r="I150" s="9" t="s">
        <v>64</v>
      </c>
      <c r="J150" s="9" t="s">
        <v>56</v>
      </c>
      <c r="K150" s="9" t="s">
        <v>97</v>
      </c>
      <c r="L150" s="9" t="s">
        <v>42</v>
      </c>
      <c r="M150" s="9" t="s">
        <v>43</v>
      </c>
      <c r="N150" s="9" t="s">
        <v>43</v>
      </c>
      <c r="O150" s="9" t="s">
        <v>66</v>
      </c>
      <c r="P150" s="9" t="s">
        <v>76</v>
      </c>
      <c r="Q150" s="9" t="s">
        <v>58</v>
      </c>
      <c r="R150" s="9" t="s">
        <v>49</v>
      </c>
      <c r="S150" s="9" t="s">
        <v>47</v>
      </c>
      <c r="T150" s="9" t="s">
        <v>42</v>
      </c>
      <c r="U150" s="9" t="s">
        <v>44</v>
      </c>
      <c r="V150" s="9" t="s">
        <v>49</v>
      </c>
      <c r="W150" s="9" t="s">
        <v>48</v>
      </c>
      <c r="X150" s="9" t="s">
        <v>59</v>
      </c>
      <c r="Y150" s="9" t="s">
        <v>48</v>
      </c>
      <c r="Z150" s="9" t="s">
        <v>50</v>
      </c>
      <c r="AA150" s="9" t="s">
        <v>51</v>
      </c>
      <c r="AB150" s="9" t="s">
        <v>49</v>
      </c>
      <c r="AC150" s="8" t="s">
        <v>221</v>
      </c>
      <c r="AD150" s="9" t="s">
        <v>76</v>
      </c>
      <c r="AE150" s="9" t="s">
        <v>44</v>
      </c>
      <c r="AF150" s="10" t="s">
        <v>282</v>
      </c>
      <c r="AG150" s="8" t="s">
        <v>283</v>
      </c>
      <c r="AH150" s="7" t="n">
        <f aca="false">(O150='Labeling Rules'!$C$6)*'Labeling Rules'!$D$6+(Q150='Labeling Rules'!$C$7)*'Labeling Rules'!$D$7+(R150='Labeling Rules'!$C$8)*'Labeling Rules'!$D$8+(R150='Labeling Rules'!$C$9)*'Labeling Rules'!$D$9+(P150='Labeling Rules'!$C$10)*'Labeling Rules'!$D$10+(M150='Labeling Rules'!$C$11)*'Labeling Rules'!$D$11+(T150='Labeling Rules'!$C$12)*'Labeling Rules'!$D$12+(U150='Labeling Rules'!$C$13)*'Labeling Rules'!$D$13+(W150='Labeling Rules'!$C$14)*'Labeling Rules'!$D$14+(Y150='Labeling Rules'!$C$15)*'Labeling Rules'!$D$15</f>
        <v>2</v>
      </c>
      <c r="AI150" s="7" t="n">
        <f aca="false">IF(AH150&gt;='Labeling Rules'!$D$17,1,0)</f>
        <v>0</v>
      </c>
    </row>
    <row r="151" customFormat="false" ht="14.25" hidden="false" customHeight="false" outlineLevel="0" collapsed="false">
      <c r="A151" s="0" t="n">
        <v>150</v>
      </c>
      <c r="B151" s="6" t="n">
        <v>46161.6500347222</v>
      </c>
      <c r="C151" s="6" t="n">
        <v>46161.6550578704</v>
      </c>
      <c r="D151" s="8" t="s">
        <v>35</v>
      </c>
      <c r="E151" s="8"/>
      <c r="F151" s="9" t="s">
        <v>36</v>
      </c>
      <c r="G151" s="9" t="s">
        <v>137</v>
      </c>
      <c r="H151" s="9" t="s">
        <v>38</v>
      </c>
      <c r="I151" s="9" t="s">
        <v>55</v>
      </c>
      <c r="J151" s="9" t="s">
        <v>56</v>
      </c>
      <c r="K151" s="9" t="s">
        <v>97</v>
      </c>
      <c r="L151" s="9" t="s">
        <v>42</v>
      </c>
      <c r="M151" s="9" t="s">
        <v>43</v>
      </c>
      <c r="N151" s="9" t="s">
        <v>43</v>
      </c>
      <c r="O151" s="9" t="s">
        <v>45</v>
      </c>
      <c r="P151" s="9" t="s">
        <v>42</v>
      </c>
      <c r="Q151" s="9" t="s">
        <v>58</v>
      </c>
      <c r="R151" s="9" t="s">
        <v>49</v>
      </c>
      <c r="S151" s="9" t="s">
        <v>48</v>
      </c>
      <c r="T151" s="9" t="s">
        <v>48</v>
      </c>
      <c r="U151" s="9" t="s">
        <v>49</v>
      </c>
      <c r="V151" s="9" t="s">
        <v>49</v>
      </c>
      <c r="W151" s="9" t="s">
        <v>42</v>
      </c>
      <c r="X151" s="9" t="s">
        <v>59</v>
      </c>
      <c r="Y151" s="9" t="s">
        <v>48</v>
      </c>
      <c r="Z151" s="9" t="s">
        <v>50</v>
      </c>
      <c r="AA151" s="9" t="s">
        <v>77</v>
      </c>
      <c r="AB151" s="9" t="s">
        <v>49</v>
      </c>
      <c r="AC151" s="8" t="s">
        <v>235</v>
      </c>
      <c r="AD151" s="9" t="s">
        <v>42</v>
      </c>
      <c r="AE151" s="9" t="s">
        <v>49</v>
      </c>
      <c r="AF151" s="9" t="s">
        <v>284</v>
      </c>
      <c r="AG151" s="9" t="s">
        <v>285</v>
      </c>
      <c r="AH151" s="7" t="n">
        <f aca="false">(O151='Labeling Rules'!$C$6)*'Labeling Rules'!$D$6+(Q151='Labeling Rules'!$C$7)*'Labeling Rules'!$D$7+(R151='Labeling Rules'!$C$8)*'Labeling Rules'!$D$8+(R151='Labeling Rules'!$C$9)*'Labeling Rules'!$D$9+(P151='Labeling Rules'!$C$10)*'Labeling Rules'!$D$10+(M151='Labeling Rules'!$C$11)*'Labeling Rules'!$D$11+(T151='Labeling Rules'!$C$12)*'Labeling Rules'!$D$12+(U151='Labeling Rules'!$C$13)*'Labeling Rules'!$D$13+(W151='Labeling Rules'!$C$14)*'Labeling Rules'!$D$14+(Y151='Labeling Rules'!$C$15)*'Labeling Rules'!$D$15</f>
        <v>4</v>
      </c>
      <c r="AI151" s="7" t="n">
        <f aca="false">IF(AH151&gt;='Labeling Rules'!$D$17,1,0)</f>
        <v>0</v>
      </c>
    </row>
    <row r="152" customFormat="false" ht="14.25" hidden="false" customHeight="false" outlineLevel="0" collapsed="false">
      <c r="A152" s="0" t="n">
        <v>151</v>
      </c>
      <c r="B152" s="6" t="n">
        <v>46161.6531944444</v>
      </c>
      <c r="C152" s="6" t="n">
        <v>46161.6555092593</v>
      </c>
      <c r="D152" s="8" t="s">
        <v>35</v>
      </c>
      <c r="E152" s="8"/>
      <c r="F152" s="9" t="s">
        <v>36</v>
      </c>
      <c r="G152" s="9" t="s">
        <v>137</v>
      </c>
      <c r="H152" s="9" t="s">
        <v>38</v>
      </c>
      <c r="I152" s="9" t="s">
        <v>80</v>
      </c>
      <c r="J152" s="9" t="s">
        <v>56</v>
      </c>
      <c r="K152" s="9" t="s">
        <v>97</v>
      </c>
      <c r="L152" s="9" t="s">
        <v>42</v>
      </c>
      <c r="M152" s="9" t="s">
        <v>49</v>
      </c>
      <c r="N152" s="9" t="s">
        <v>49</v>
      </c>
      <c r="O152" s="9" t="s">
        <v>45</v>
      </c>
      <c r="P152" s="9" t="s">
        <v>48</v>
      </c>
      <c r="Q152" s="9" t="s">
        <v>46</v>
      </c>
      <c r="R152" s="9" t="s">
        <v>49</v>
      </c>
      <c r="S152" s="9" t="s">
        <v>42</v>
      </c>
      <c r="T152" s="9" t="s">
        <v>48</v>
      </c>
      <c r="U152" s="9" t="s">
        <v>48</v>
      </c>
      <c r="V152" s="9" t="s">
        <v>82</v>
      </c>
      <c r="W152" s="9" t="s">
        <v>48</v>
      </c>
      <c r="X152" s="9" t="s">
        <v>76</v>
      </c>
      <c r="Y152" s="9" t="s">
        <v>48</v>
      </c>
      <c r="Z152" s="9" t="s">
        <v>50</v>
      </c>
      <c r="AA152" s="9" t="s">
        <v>67</v>
      </c>
      <c r="AB152" s="9" t="s">
        <v>42</v>
      </c>
      <c r="AC152" s="8" t="s">
        <v>286</v>
      </c>
      <c r="AD152" s="9" t="s">
        <v>76</v>
      </c>
      <c r="AE152" s="9" t="s">
        <v>49</v>
      </c>
      <c r="AF152" s="9" t="s">
        <v>287</v>
      </c>
      <c r="AG152" s="9" t="s">
        <v>48</v>
      </c>
      <c r="AH152" s="7" t="n">
        <f aca="false">(O152='Labeling Rules'!$C$6)*'Labeling Rules'!$D$6+(Q152='Labeling Rules'!$C$7)*'Labeling Rules'!$D$7+(R152='Labeling Rules'!$C$8)*'Labeling Rules'!$D$8+(R152='Labeling Rules'!$C$9)*'Labeling Rules'!$D$9+(P152='Labeling Rules'!$C$10)*'Labeling Rules'!$D$10+(M152='Labeling Rules'!$C$11)*'Labeling Rules'!$D$11+(T152='Labeling Rules'!$C$12)*'Labeling Rules'!$D$12+(U152='Labeling Rules'!$C$13)*'Labeling Rules'!$D$13+(W152='Labeling Rules'!$C$14)*'Labeling Rules'!$D$14+(Y152='Labeling Rules'!$C$15)*'Labeling Rules'!$D$15</f>
        <v>5</v>
      </c>
      <c r="AI152" s="7" t="n">
        <f aca="false">IF(AH152&gt;='Labeling Rules'!$D$17,1,0)</f>
        <v>1</v>
      </c>
    </row>
    <row r="153" customFormat="false" ht="14.25" hidden="false" customHeight="false" outlineLevel="0" collapsed="false">
      <c r="A153" s="0" t="n">
        <v>152</v>
      </c>
      <c r="B153" s="6" t="n">
        <v>46161.6719791667</v>
      </c>
      <c r="C153" s="6" t="n">
        <v>46161.6751157407</v>
      </c>
      <c r="D153" s="8" t="s">
        <v>35</v>
      </c>
      <c r="E153" s="8"/>
      <c r="F153" s="9" t="s">
        <v>36</v>
      </c>
      <c r="G153" s="9" t="s">
        <v>69</v>
      </c>
      <c r="H153" s="9" t="s">
        <v>38</v>
      </c>
      <c r="I153" s="9" t="s">
        <v>64</v>
      </c>
      <c r="J153" s="9" t="s">
        <v>56</v>
      </c>
      <c r="K153" s="9" t="s">
        <v>97</v>
      </c>
      <c r="L153" s="9" t="s">
        <v>42</v>
      </c>
      <c r="M153" s="9" t="s">
        <v>49</v>
      </c>
      <c r="N153" s="9" t="s">
        <v>49</v>
      </c>
      <c r="O153" s="9" t="s">
        <v>45</v>
      </c>
      <c r="P153" s="9" t="s">
        <v>42</v>
      </c>
      <c r="Q153" s="9" t="s">
        <v>58</v>
      </c>
      <c r="R153" s="9" t="s">
        <v>49</v>
      </c>
      <c r="S153" s="9" t="s">
        <v>47</v>
      </c>
      <c r="T153" s="9" t="s">
        <v>48</v>
      </c>
      <c r="U153" s="9" t="s">
        <v>44</v>
      </c>
      <c r="V153" s="9" t="s">
        <v>82</v>
      </c>
      <c r="W153" s="9" t="s">
        <v>48</v>
      </c>
      <c r="X153" s="9" t="s">
        <v>76</v>
      </c>
      <c r="Y153" s="9" t="s">
        <v>48</v>
      </c>
      <c r="Z153" s="9" t="s">
        <v>50</v>
      </c>
      <c r="AA153" s="9" t="s">
        <v>67</v>
      </c>
      <c r="AB153" s="9" t="s">
        <v>49</v>
      </c>
      <c r="AC153" s="8" t="s">
        <v>221</v>
      </c>
      <c r="AD153" s="9" t="s">
        <v>48</v>
      </c>
      <c r="AE153" s="9" t="s">
        <v>49</v>
      </c>
      <c r="AF153" s="9" t="s">
        <v>288</v>
      </c>
      <c r="AG153" s="9" t="s">
        <v>42</v>
      </c>
      <c r="AH153" s="7" t="n">
        <f aca="false">(O153='Labeling Rules'!$C$6)*'Labeling Rules'!$D$6+(Q153='Labeling Rules'!$C$7)*'Labeling Rules'!$D$7+(R153='Labeling Rules'!$C$8)*'Labeling Rules'!$D$8+(R153='Labeling Rules'!$C$9)*'Labeling Rules'!$D$9+(P153='Labeling Rules'!$C$10)*'Labeling Rules'!$D$10+(M153='Labeling Rules'!$C$11)*'Labeling Rules'!$D$11+(T153='Labeling Rules'!$C$12)*'Labeling Rules'!$D$12+(U153='Labeling Rules'!$C$13)*'Labeling Rules'!$D$13+(W153='Labeling Rules'!$C$14)*'Labeling Rules'!$D$14+(Y153='Labeling Rules'!$C$15)*'Labeling Rules'!$D$15</f>
        <v>3</v>
      </c>
      <c r="AI153" s="7" t="n">
        <f aca="false">IF(AH153&gt;='Labeling Rules'!$D$17,1,0)</f>
        <v>0</v>
      </c>
    </row>
    <row r="154" customFormat="false" ht="14.25" hidden="false" customHeight="false" outlineLevel="0" collapsed="false">
      <c r="A154" s="0" t="n">
        <v>153</v>
      </c>
      <c r="B154" s="6" t="n">
        <v>46161.6930439815</v>
      </c>
      <c r="C154" s="6" t="n">
        <v>46161.6980555556</v>
      </c>
      <c r="D154" s="8" t="s">
        <v>35</v>
      </c>
      <c r="E154" s="8"/>
      <c r="F154" s="9" t="s">
        <v>36</v>
      </c>
      <c r="G154" s="9" t="s">
        <v>37</v>
      </c>
      <c r="H154" s="9" t="s">
        <v>38</v>
      </c>
      <c r="I154" s="9" t="s">
        <v>155</v>
      </c>
      <c r="J154" s="9" t="s">
        <v>65</v>
      </c>
      <c r="K154" s="9" t="s">
        <v>41</v>
      </c>
      <c r="L154" s="9" t="s">
        <v>42</v>
      </c>
      <c r="M154" s="9" t="s">
        <v>49</v>
      </c>
      <c r="N154" s="9" t="s">
        <v>43</v>
      </c>
      <c r="O154" s="9" t="s">
        <v>66</v>
      </c>
      <c r="P154" s="9" t="s">
        <v>76</v>
      </c>
      <c r="Q154" s="9" t="s">
        <v>46</v>
      </c>
      <c r="R154" s="9" t="s">
        <v>49</v>
      </c>
      <c r="S154" s="9" t="s">
        <v>48</v>
      </c>
      <c r="T154" s="9" t="s">
        <v>48</v>
      </c>
      <c r="U154" s="9" t="s">
        <v>44</v>
      </c>
      <c r="V154" s="9" t="s">
        <v>75</v>
      </c>
      <c r="W154" s="9" t="s">
        <v>48</v>
      </c>
      <c r="X154" s="9" t="s">
        <v>59</v>
      </c>
      <c r="Y154" s="9" t="s">
        <v>48</v>
      </c>
      <c r="Z154" s="9" t="s">
        <v>50</v>
      </c>
      <c r="AA154" s="9" t="s">
        <v>51</v>
      </c>
      <c r="AB154" s="9" t="s">
        <v>49</v>
      </c>
      <c r="AC154" s="8" t="s">
        <v>221</v>
      </c>
      <c r="AD154" s="9" t="s">
        <v>76</v>
      </c>
      <c r="AE154" s="9" t="s">
        <v>44</v>
      </c>
      <c r="AF154" s="9" t="s">
        <v>289</v>
      </c>
      <c r="AG154" s="9" t="s">
        <v>48</v>
      </c>
      <c r="AH154" s="7" t="n">
        <f aca="false">(O154='Labeling Rules'!$C$6)*'Labeling Rules'!$D$6+(Q154='Labeling Rules'!$C$7)*'Labeling Rules'!$D$7+(R154='Labeling Rules'!$C$8)*'Labeling Rules'!$D$8+(R154='Labeling Rules'!$C$9)*'Labeling Rules'!$D$9+(P154='Labeling Rules'!$C$10)*'Labeling Rules'!$D$10+(M154='Labeling Rules'!$C$11)*'Labeling Rules'!$D$11+(T154='Labeling Rules'!$C$12)*'Labeling Rules'!$D$12+(U154='Labeling Rules'!$C$13)*'Labeling Rules'!$D$13+(W154='Labeling Rules'!$C$14)*'Labeling Rules'!$D$14+(Y154='Labeling Rules'!$C$15)*'Labeling Rules'!$D$15</f>
        <v>1</v>
      </c>
      <c r="AI154" s="7" t="n">
        <f aca="false">IF(AH154&gt;='Labeling Rules'!$D$17,1,0)</f>
        <v>0</v>
      </c>
    </row>
    <row r="155" customFormat="false" ht="14.25" hidden="false" customHeight="false" outlineLevel="0" collapsed="false">
      <c r="A155" s="0" t="n">
        <v>154</v>
      </c>
      <c r="B155" s="6" t="n">
        <v>46161.6968171296</v>
      </c>
      <c r="C155" s="6" t="n">
        <v>46161.6984837963</v>
      </c>
      <c r="D155" s="8" t="s">
        <v>35</v>
      </c>
      <c r="E155" s="8"/>
      <c r="F155" s="9" t="s">
        <v>36</v>
      </c>
      <c r="G155" s="9" t="s">
        <v>69</v>
      </c>
      <c r="H155" s="9" t="s">
        <v>38</v>
      </c>
      <c r="I155" s="9" t="s">
        <v>64</v>
      </c>
      <c r="J155" s="9" t="s">
        <v>56</v>
      </c>
      <c r="K155" s="9" t="s">
        <v>97</v>
      </c>
      <c r="L155" s="9" t="s">
        <v>42</v>
      </c>
      <c r="M155" s="9" t="s">
        <v>43</v>
      </c>
      <c r="N155" s="9" t="s">
        <v>43</v>
      </c>
      <c r="O155" s="9" t="s">
        <v>66</v>
      </c>
      <c r="P155" s="9" t="s">
        <v>42</v>
      </c>
      <c r="Q155" s="9" t="s">
        <v>58</v>
      </c>
      <c r="R155" s="9" t="s">
        <v>48</v>
      </c>
      <c r="S155" s="9" t="s">
        <v>48</v>
      </c>
      <c r="T155" s="9" t="s">
        <v>48</v>
      </c>
      <c r="U155" s="9" t="s">
        <v>49</v>
      </c>
      <c r="V155" s="9" t="s">
        <v>74</v>
      </c>
      <c r="W155" s="9" t="s">
        <v>48</v>
      </c>
      <c r="X155" s="9" t="s">
        <v>48</v>
      </c>
      <c r="Y155" s="9" t="s">
        <v>42</v>
      </c>
      <c r="Z155" s="9" t="s">
        <v>48</v>
      </c>
      <c r="AA155" s="9" t="s">
        <v>77</v>
      </c>
      <c r="AB155" s="9" t="s">
        <v>49</v>
      </c>
      <c r="AC155" s="8" t="s">
        <v>245</v>
      </c>
      <c r="AD155" s="9" t="s">
        <v>76</v>
      </c>
      <c r="AE155" s="9" t="s">
        <v>49</v>
      </c>
      <c r="AF155" s="9" t="s">
        <v>290</v>
      </c>
      <c r="AG155" s="9" t="s">
        <v>42</v>
      </c>
      <c r="AH155" s="7" t="n">
        <f aca="false">(O155='Labeling Rules'!$C$6)*'Labeling Rules'!$D$6+(Q155='Labeling Rules'!$C$7)*'Labeling Rules'!$D$7+(R155='Labeling Rules'!$C$8)*'Labeling Rules'!$D$8+(R155='Labeling Rules'!$C$9)*'Labeling Rules'!$D$9+(P155='Labeling Rules'!$C$10)*'Labeling Rules'!$D$10+(M155='Labeling Rules'!$C$11)*'Labeling Rules'!$D$11+(T155='Labeling Rules'!$C$12)*'Labeling Rules'!$D$12+(U155='Labeling Rules'!$C$13)*'Labeling Rules'!$D$13+(W155='Labeling Rules'!$C$14)*'Labeling Rules'!$D$14+(Y155='Labeling Rules'!$C$15)*'Labeling Rules'!$D$15</f>
        <v>1</v>
      </c>
      <c r="AI155" s="7" t="n">
        <f aca="false">IF(AH155&gt;='Labeling Rules'!$D$17,1,0)</f>
        <v>0</v>
      </c>
    </row>
    <row r="156" customFormat="false" ht="14.25" hidden="false" customHeight="false" outlineLevel="0" collapsed="false">
      <c r="A156" s="0" t="n">
        <v>155</v>
      </c>
      <c r="B156" s="6" t="n">
        <v>46161.7256481482</v>
      </c>
      <c r="C156" s="6" t="n">
        <v>46161.7277199074</v>
      </c>
      <c r="D156" s="8" t="s">
        <v>35</v>
      </c>
      <c r="E156" s="8"/>
      <c r="F156" s="9" t="s">
        <v>36</v>
      </c>
      <c r="G156" s="9" t="s">
        <v>37</v>
      </c>
      <c r="H156" s="9" t="s">
        <v>38</v>
      </c>
      <c r="I156" s="9" t="s">
        <v>39</v>
      </c>
      <c r="J156" s="9" t="s">
        <v>56</v>
      </c>
      <c r="K156" s="9" t="s">
        <v>41</v>
      </c>
      <c r="L156" s="9" t="s">
        <v>42</v>
      </c>
      <c r="M156" s="9" t="s">
        <v>44</v>
      </c>
      <c r="N156" s="9" t="s">
        <v>49</v>
      </c>
      <c r="O156" s="9" t="s">
        <v>66</v>
      </c>
      <c r="P156" s="9" t="s">
        <v>42</v>
      </c>
      <c r="Q156" s="9" t="s">
        <v>46</v>
      </c>
      <c r="R156" s="9" t="s">
        <v>49</v>
      </c>
      <c r="S156" s="9" t="s">
        <v>48</v>
      </c>
      <c r="T156" s="9" t="s">
        <v>48</v>
      </c>
      <c r="U156" s="9" t="s">
        <v>44</v>
      </c>
      <c r="V156" s="9" t="s">
        <v>49</v>
      </c>
      <c r="W156" s="9" t="s">
        <v>48</v>
      </c>
      <c r="X156" s="9" t="s">
        <v>59</v>
      </c>
      <c r="Y156" s="9" t="s">
        <v>48</v>
      </c>
      <c r="Z156" s="9" t="s">
        <v>50</v>
      </c>
      <c r="AA156" s="9" t="s">
        <v>77</v>
      </c>
      <c r="AB156" s="9" t="s">
        <v>49</v>
      </c>
      <c r="AC156" s="8" t="s">
        <v>221</v>
      </c>
      <c r="AD156" s="9" t="s">
        <v>48</v>
      </c>
      <c r="AE156" s="9" t="s">
        <v>49</v>
      </c>
      <c r="AF156" s="8" t="s">
        <v>139</v>
      </c>
      <c r="AG156" s="9" t="s">
        <v>48</v>
      </c>
      <c r="AH156" s="7" t="n">
        <f aca="false">(O156='Labeling Rules'!$C$6)*'Labeling Rules'!$D$6+(Q156='Labeling Rules'!$C$7)*'Labeling Rules'!$D$7+(R156='Labeling Rules'!$C$8)*'Labeling Rules'!$D$8+(R156='Labeling Rules'!$C$9)*'Labeling Rules'!$D$9+(P156='Labeling Rules'!$C$10)*'Labeling Rules'!$D$10+(M156='Labeling Rules'!$C$11)*'Labeling Rules'!$D$11+(T156='Labeling Rules'!$C$12)*'Labeling Rules'!$D$12+(U156='Labeling Rules'!$C$13)*'Labeling Rules'!$D$13+(W156='Labeling Rules'!$C$14)*'Labeling Rules'!$D$14+(Y156='Labeling Rules'!$C$15)*'Labeling Rules'!$D$15</f>
        <v>2</v>
      </c>
      <c r="AI156" s="7" t="n">
        <f aca="false">IF(AH156&gt;='Labeling Rules'!$D$17,1,0)</f>
        <v>0</v>
      </c>
    </row>
    <row r="157" customFormat="false" ht="14.25" hidden="false" customHeight="false" outlineLevel="0" collapsed="false">
      <c r="A157" s="0" t="n">
        <v>156</v>
      </c>
      <c r="B157" s="6" t="n">
        <v>46162.6929050926</v>
      </c>
      <c r="C157" s="6" t="n">
        <v>46162.6942939815</v>
      </c>
      <c r="D157" s="8" t="s">
        <v>35</v>
      </c>
      <c r="E157" s="8"/>
      <c r="F157" s="9" t="s">
        <v>63</v>
      </c>
      <c r="G157" s="9" t="s">
        <v>37</v>
      </c>
      <c r="H157" s="9" t="s">
        <v>38</v>
      </c>
      <c r="I157" s="9" t="s">
        <v>64</v>
      </c>
      <c r="J157" s="9" t="s">
        <v>56</v>
      </c>
      <c r="K157" s="9" t="s">
        <v>97</v>
      </c>
      <c r="L157" s="9" t="s">
        <v>42</v>
      </c>
      <c r="M157" s="9" t="s">
        <v>44</v>
      </c>
      <c r="N157" s="9" t="s">
        <v>75</v>
      </c>
      <c r="O157" s="9" t="s">
        <v>66</v>
      </c>
      <c r="P157" s="9" t="s">
        <v>42</v>
      </c>
      <c r="Q157" s="9" t="s">
        <v>58</v>
      </c>
      <c r="R157" s="9" t="s">
        <v>42</v>
      </c>
      <c r="S157" s="9" t="s">
        <v>47</v>
      </c>
      <c r="T157" s="9" t="s">
        <v>42</v>
      </c>
      <c r="U157" s="9" t="s">
        <v>44</v>
      </c>
      <c r="V157" s="9" t="s">
        <v>74</v>
      </c>
      <c r="W157" s="9" t="s">
        <v>42</v>
      </c>
      <c r="X157" s="9" t="s">
        <v>59</v>
      </c>
      <c r="Y157" s="9" t="s">
        <v>42</v>
      </c>
      <c r="Z157" s="9" t="s">
        <v>83</v>
      </c>
      <c r="AA157" s="9" t="s">
        <v>60</v>
      </c>
      <c r="AB157" s="9" t="s">
        <v>42</v>
      </c>
      <c r="AC157" s="8" t="s">
        <v>221</v>
      </c>
      <c r="AD157" s="9" t="s">
        <v>42</v>
      </c>
      <c r="AE157" s="9" t="s">
        <v>44</v>
      </c>
      <c r="AF157" s="9" t="s">
        <v>291</v>
      </c>
      <c r="AG157" s="9" t="s">
        <v>42</v>
      </c>
      <c r="AH157" s="7" t="n">
        <f aca="false">(O157='Labeling Rules'!$C$6)*'Labeling Rules'!$D$6+(Q157='Labeling Rules'!$C$7)*'Labeling Rules'!$D$7+(R157='Labeling Rules'!$C$8)*'Labeling Rules'!$D$8+(R157='Labeling Rules'!$C$9)*'Labeling Rules'!$D$9+(P157='Labeling Rules'!$C$10)*'Labeling Rules'!$D$10+(M157='Labeling Rules'!$C$11)*'Labeling Rules'!$D$11+(T157='Labeling Rules'!$C$12)*'Labeling Rules'!$D$12+(U157='Labeling Rules'!$C$13)*'Labeling Rules'!$D$13+(W157='Labeling Rules'!$C$14)*'Labeling Rules'!$D$14+(Y157='Labeling Rules'!$C$15)*'Labeling Rules'!$D$15</f>
        <v>6</v>
      </c>
      <c r="AI157" s="7" t="n">
        <f aca="false">IF(AH157&gt;='Labeling Rules'!$D$17,1,0)</f>
        <v>1</v>
      </c>
    </row>
    <row r="158" customFormat="false" ht="14.25" hidden="false" customHeight="false" outlineLevel="0" collapsed="false">
      <c r="A158" s="0" t="n">
        <v>157</v>
      </c>
      <c r="B158" s="6" t="n">
        <v>46162.7100925926</v>
      </c>
      <c r="C158" s="6" t="n">
        <v>46162.7128472222</v>
      </c>
      <c r="D158" s="8" t="s">
        <v>35</v>
      </c>
      <c r="E158" s="8"/>
      <c r="F158" s="9" t="s">
        <v>63</v>
      </c>
      <c r="G158" s="9" t="s">
        <v>69</v>
      </c>
      <c r="H158" s="9" t="s">
        <v>38</v>
      </c>
      <c r="I158" s="9" t="s">
        <v>64</v>
      </c>
      <c r="J158" s="9" t="s">
        <v>56</v>
      </c>
      <c r="K158" s="9" t="s">
        <v>41</v>
      </c>
      <c r="L158" s="9" t="s">
        <v>42</v>
      </c>
      <c r="M158" s="9" t="s">
        <v>49</v>
      </c>
      <c r="N158" s="9" t="s">
        <v>49</v>
      </c>
      <c r="O158" s="9" t="s">
        <v>66</v>
      </c>
      <c r="P158" s="9" t="s">
        <v>76</v>
      </c>
      <c r="Q158" s="9" t="s">
        <v>58</v>
      </c>
      <c r="R158" s="9" t="s">
        <v>48</v>
      </c>
      <c r="S158" s="9" t="s">
        <v>48</v>
      </c>
      <c r="T158" s="9" t="s">
        <v>48</v>
      </c>
      <c r="U158" s="9" t="s">
        <v>49</v>
      </c>
      <c r="V158" s="9" t="s">
        <v>49</v>
      </c>
      <c r="W158" s="9" t="s">
        <v>48</v>
      </c>
      <c r="X158" s="9" t="s">
        <v>59</v>
      </c>
      <c r="Y158" s="9" t="s">
        <v>42</v>
      </c>
      <c r="Z158" s="9" t="s">
        <v>48</v>
      </c>
      <c r="AA158" s="9" t="s">
        <v>67</v>
      </c>
      <c r="AB158" s="9" t="s">
        <v>48</v>
      </c>
      <c r="AC158" s="8" t="s">
        <v>245</v>
      </c>
      <c r="AD158" s="9" t="s">
        <v>42</v>
      </c>
      <c r="AE158" s="9" t="s">
        <v>49</v>
      </c>
      <c r="AF158" s="9" t="s">
        <v>292</v>
      </c>
      <c r="AG158" s="9" t="s">
        <v>48</v>
      </c>
      <c r="AH158" s="7" t="n">
        <f aca="false">(O158='Labeling Rules'!$C$6)*'Labeling Rules'!$D$6+(Q158='Labeling Rules'!$C$7)*'Labeling Rules'!$D$7+(R158='Labeling Rules'!$C$8)*'Labeling Rules'!$D$8+(R158='Labeling Rules'!$C$9)*'Labeling Rules'!$D$9+(P158='Labeling Rules'!$C$10)*'Labeling Rules'!$D$10+(M158='Labeling Rules'!$C$11)*'Labeling Rules'!$D$11+(T158='Labeling Rules'!$C$12)*'Labeling Rules'!$D$12+(U158='Labeling Rules'!$C$13)*'Labeling Rules'!$D$13+(W158='Labeling Rules'!$C$14)*'Labeling Rules'!$D$14+(Y158='Labeling Rules'!$C$15)*'Labeling Rules'!$D$15</f>
        <v>1</v>
      </c>
      <c r="AI158" s="7" t="n">
        <f aca="false">IF(AH158&gt;='Labeling Rules'!$D$17,1,0)</f>
        <v>0</v>
      </c>
    </row>
    <row r="159" customFormat="false" ht="14.25" hidden="false" customHeight="false" outlineLevel="0" collapsed="false">
      <c r="A159" s="0" t="n">
        <v>158</v>
      </c>
      <c r="B159" s="6" t="n">
        <v>46162.7339236111</v>
      </c>
      <c r="C159" s="6" t="n">
        <v>46162.7371296296</v>
      </c>
      <c r="D159" s="8" t="s">
        <v>35</v>
      </c>
      <c r="E159" s="8"/>
      <c r="F159" s="9" t="s">
        <v>36</v>
      </c>
      <c r="G159" s="9" t="s">
        <v>37</v>
      </c>
      <c r="H159" s="9" t="s">
        <v>38</v>
      </c>
      <c r="I159" s="9" t="s">
        <v>64</v>
      </c>
      <c r="J159" s="9" t="s">
        <v>65</v>
      </c>
      <c r="K159" s="9" t="s">
        <v>41</v>
      </c>
      <c r="L159" s="9" t="s">
        <v>42</v>
      </c>
      <c r="M159" s="9" t="s">
        <v>43</v>
      </c>
      <c r="N159" s="9" t="s">
        <v>49</v>
      </c>
      <c r="O159" s="9" t="s">
        <v>57</v>
      </c>
      <c r="P159" s="9" t="s">
        <v>76</v>
      </c>
      <c r="Q159" s="9" t="s">
        <v>58</v>
      </c>
      <c r="R159" s="9" t="s">
        <v>49</v>
      </c>
      <c r="S159" s="9" t="s">
        <v>47</v>
      </c>
      <c r="T159" s="9" t="s">
        <v>48</v>
      </c>
      <c r="U159" s="9" t="s">
        <v>49</v>
      </c>
      <c r="V159" s="9" t="s">
        <v>49</v>
      </c>
      <c r="W159" s="9" t="s">
        <v>48</v>
      </c>
      <c r="X159" s="9" t="s">
        <v>59</v>
      </c>
      <c r="Y159" s="9" t="s">
        <v>48</v>
      </c>
      <c r="Z159" s="9" t="s">
        <v>50</v>
      </c>
      <c r="AA159" s="9" t="s">
        <v>67</v>
      </c>
      <c r="AB159" s="9" t="s">
        <v>49</v>
      </c>
      <c r="AC159" s="8" t="s">
        <v>238</v>
      </c>
      <c r="AD159" s="9" t="s">
        <v>76</v>
      </c>
      <c r="AE159" s="9" t="s">
        <v>74</v>
      </c>
      <c r="AF159" s="9" t="s">
        <v>293</v>
      </c>
      <c r="AG159" s="9" t="s">
        <v>42</v>
      </c>
      <c r="AH159" s="7" t="n">
        <f aca="false">(O159='Labeling Rules'!$C$6)*'Labeling Rules'!$D$6+(Q159='Labeling Rules'!$C$7)*'Labeling Rules'!$D$7+(R159='Labeling Rules'!$C$8)*'Labeling Rules'!$D$8+(R159='Labeling Rules'!$C$9)*'Labeling Rules'!$D$9+(P159='Labeling Rules'!$C$10)*'Labeling Rules'!$D$10+(M159='Labeling Rules'!$C$11)*'Labeling Rules'!$D$11+(T159='Labeling Rules'!$C$12)*'Labeling Rules'!$D$12+(U159='Labeling Rules'!$C$13)*'Labeling Rules'!$D$13+(W159='Labeling Rules'!$C$14)*'Labeling Rules'!$D$14+(Y159='Labeling Rules'!$C$15)*'Labeling Rules'!$D$15</f>
        <v>1</v>
      </c>
      <c r="AI159" s="7" t="n">
        <f aca="false">IF(AH159&gt;='Labeling Rules'!$D$17,1,0)</f>
        <v>0</v>
      </c>
    </row>
    <row r="160" customFormat="false" ht="14.25" hidden="false" customHeight="false" outlineLevel="0" collapsed="false">
      <c r="A160" s="0" t="n">
        <v>159</v>
      </c>
      <c r="B160" s="6" t="n">
        <v>46162.7333564815</v>
      </c>
      <c r="C160" s="6" t="n">
        <v>46162.7390046296</v>
      </c>
      <c r="D160" s="8" t="s">
        <v>35</v>
      </c>
      <c r="E160" s="8"/>
      <c r="F160" s="9" t="s">
        <v>36</v>
      </c>
      <c r="G160" s="9" t="s">
        <v>73</v>
      </c>
      <c r="H160" s="9" t="s">
        <v>38</v>
      </c>
      <c r="I160" s="9" t="s">
        <v>55</v>
      </c>
      <c r="J160" s="9" t="s">
        <v>56</v>
      </c>
      <c r="K160" s="9" t="s">
        <v>97</v>
      </c>
      <c r="L160" s="9" t="s">
        <v>42</v>
      </c>
      <c r="M160" s="9" t="s">
        <v>43</v>
      </c>
      <c r="N160" s="9" t="s">
        <v>43</v>
      </c>
      <c r="O160" s="9" t="s">
        <v>57</v>
      </c>
      <c r="P160" s="9" t="s">
        <v>42</v>
      </c>
      <c r="Q160" s="9" t="s">
        <v>81</v>
      </c>
      <c r="R160" s="9" t="s">
        <v>42</v>
      </c>
      <c r="S160" s="9" t="s">
        <v>47</v>
      </c>
      <c r="T160" s="9" t="s">
        <v>42</v>
      </c>
      <c r="U160" s="9" t="s">
        <v>49</v>
      </c>
      <c r="V160" s="9" t="s">
        <v>74</v>
      </c>
      <c r="W160" s="9" t="s">
        <v>42</v>
      </c>
      <c r="X160" s="9" t="s">
        <v>59</v>
      </c>
      <c r="Y160" s="9" t="s">
        <v>42</v>
      </c>
      <c r="Z160" s="9" t="s">
        <v>83</v>
      </c>
      <c r="AA160" s="9" t="s">
        <v>77</v>
      </c>
      <c r="AB160" s="9" t="s">
        <v>49</v>
      </c>
      <c r="AC160" s="8" t="s">
        <v>235</v>
      </c>
      <c r="AD160" s="9" t="s">
        <v>42</v>
      </c>
      <c r="AE160" s="9" t="s">
        <v>49</v>
      </c>
      <c r="AF160" s="9" t="s">
        <v>294</v>
      </c>
      <c r="AG160" s="8" t="s">
        <v>295</v>
      </c>
      <c r="AH160" s="7" t="n">
        <f aca="false">(O160='Labeling Rules'!$C$6)*'Labeling Rules'!$D$6+(Q160='Labeling Rules'!$C$7)*'Labeling Rules'!$D$7+(R160='Labeling Rules'!$C$8)*'Labeling Rules'!$D$8+(R160='Labeling Rules'!$C$9)*'Labeling Rules'!$D$9+(P160='Labeling Rules'!$C$10)*'Labeling Rules'!$D$10+(M160='Labeling Rules'!$C$11)*'Labeling Rules'!$D$11+(T160='Labeling Rules'!$C$12)*'Labeling Rules'!$D$12+(U160='Labeling Rules'!$C$13)*'Labeling Rules'!$D$13+(W160='Labeling Rules'!$C$14)*'Labeling Rules'!$D$14+(Y160='Labeling Rules'!$C$15)*'Labeling Rules'!$D$15</f>
        <v>7</v>
      </c>
      <c r="AI160" s="7" t="n">
        <f aca="false">IF(AH160&gt;='Labeling Rules'!$D$17,1,0)</f>
        <v>1</v>
      </c>
    </row>
    <row r="161" customFormat="false" ht="14.25" hidden="false" customHeight="false" outlineLevel="0" collapsed="false">
      <c r="A161" s="0" t="n">
        <v>160</v>
      </c>
      <c r="B161" s="6" t="n">
        <v>46162.7651736111</v>
      </c>
      <c r="C161" s="6" t="n">
        <v>46162.7669560185</v>
      </c>
      <c r="D161" s="8" t="s">
        <v>35</v>
      </c>
      <c r="E161" s="8"/>
      <c r="F161" s="9" t="s">
        <v>36</v>
      </c>
      <c r="G161" s="9" t="s">
        <v>37</v>
      </c>
      <c r="H161" s="9" t="s">
        <v>38</v>
      </c>
      <c r="I161" s="9" t="s">
        <v>80</v>
      </c>
      <c r="J161" s="9" t="s">
        <v>56</v>
      </c>
      <c r="K161" s="9" t="s">
        <v>97</v>
      </c>
      <c r="L161" s="9" t="s">
        <v>42</v>
      </c>
      <c r="M161" s="9" t="s">
        <v>49</v>
      </c>
      <c r="N161" s="9" t="s">
        <v>74</v>
      </c>
      <c r="O161" s="9" t="s">
        <v>66</v>
      </c>
      <c r="P161" s="9" t="s">
        <v>76</v>
      </c>
      <c r="Q161" s="9" t="s">
        <v>46</v>
      </c>
      <c r="R161" s="9" t="s">
        <v>49</v>
      </c>
      <c r="S161" s="9" t="s">
        <v>48</v>
      </c>
      <c r="T161" s="9" t="s">
        <v>48</v>
      </c>
      <c r="U161" s="9" t="s">
        <v>44</v>
      </c>
      <c r="V161" s="9" t="s">
        <v>74</v>
      </c>
      <c r="W161" s="9" t="s">
        <v>48</v>
      </c>
      <c r="X161" s="9" t="s">
        <v>76</v>
      </c>
      <c r="Y161" s="9" t="s">
        <v>48</v>
      </c>
      <c r="Z161" s="9" t="s">
        <v>50</v>
      </c>
      <c r="AA161" s="9" t="s">
        <v>67</v>
      </c>
      <c r="AB161" s="9" t="s">
        <v>49</v>
      </c>
      <c r="AC161" s="8" t="s">
        <v>235</v>
      </c>
      <c r="AD161" s="9" t="s">
        <v>76</v>
      </c>
      <c r="AE161" s="9" t="s">
        <v>49</v>
      </c>
      <c r="AF161" s="8" t="s">
        <v>62</v>
      </c>
      <c r="AG161" s="9" t="s">
        <v>48</v>
      </c>
      <c r="AH161" s="7" t="n">
        <f aca="false">(O161='Labeling Rules'!$C$6)*'Labeling Rules'!$D$6+(Q161='Labeling Rules'!$C$7)*'Labeling Rules'!$D$7+(R161='Labeling Rules'!$C$8)*'Labeling Rules'!$D$8+(R161='Labeling Rules'!$C$9)*'Labeling Rules'!$D$9+(P161='Labeling Rules'!$C$10)*'Labeling Rules'!$D$10+(M161='Labeling Rules'!$C$11)*'Labeling Rules'!$D$11+(T161='Labeling Rules'!$C$12)*'Labeling Rules'!$D$12+(U161='Labeling Rules'!$C$13)*'Labeling Rules'!$D$13+(W161='Labeling Rules'!$C$14)*'Labeling Rules'!$D$14+(Y161='Labeling Rules'!$C$15)*'Labeling Rules'!$D$15</f>
        <v>1</v>
      </c>
      <c r="AI161" s="7" t="n">
        <f aca="false">IF(AH161&gt;='Labeling Rules'!$D$17,1,0)</f>
        <v>0</v>
      </c>
    </row>
    <row r="162" customFormat="false" ht="14.25" hidden="false" customHeight="false" outlineLevel="0" collapsed="false">
      <c r="A162" s="0" t="n">
        <v>161</v>
      </c>
      <c r="B162" s="6" t="n">
        <v>46162.7868518519</v>
      </c>
      <c r="C162" s="6" t="n">
        <v>46162.7884375</v>
      </c>
      <c r="D162" s="8" t="s">
        <v>35</v>
      </c>
      <c r="E162" s="8"/>
      <c r="F162" s="9" t="s">
        <v>36</v>
      </c>
      <c r="G162" s="9" t="s">
        <v>37</v>
      </c>
      <c r="H162" s="9" t="s">
        <v>38</v>
      </c>
      <c r="I162" s="9" t="s">
        <v>64</v>
      </c>
      <c r="J162" s="9" t="s">
        <v>56</v>
      </c>
      <c r="K162" s="9" t="s">
        <v>41</v>
      </c>
      <c r="L162" s="9" t="s">
        <v>42</v>
      </c>
      <c r="M162" s="9" t="s">
        <v>44</v>
      </c>
      <c r="N162" s="9" t="s">
        <v>49</v>
      </c>
      <c r="O162" s="9" t="s">
        <v>45</v>
      </c>
      <c r="P162" s="9" t="s">
        <v>76</v>
      </c>
      <c r="Q162" s="9" t="s">
        <v>58</v>
      </c>
      <c r="R162" s="9" t="s">
        <v>49</v>
      </c>
      <c r="S162" s="9" t="s">
        <v>47</v>
      </c>
      <c r="T162" s="9" t="s">
        <v>48</v>
      </c>
      <c r="U162" s="9" t="s">
        <v>49</v>
      </c>
      <c r="V162" s="9" t="s">
        <v>49</v>
      </c>
      <c r="W162" s="9" t="s">
        <v>42</v>
      </c>
      <c r="X162" s="9" t="s">
        <v>76</v>
      </c>
      <c r="Y162" s="9" t="s">
        <v>48</v>
      </c>
      <c r="Z162" s="9" t="s">
        <v>48</v>
      </c>
      <c r="AA162" s="9" t="s">
        <v>60</v>
      </c>
      <c r="AB162" s="9" t="s">
        <v>48</v>
      </c>
      <c r="AC162" s="8" t="s">
        <v>296</v>
      </c>
      <c r="AD162" s="9" t="s">
        <v>76</v>
      </c>
      <c r="AE162" s="9" t="s">
        <v>49</v>
      </c>
      <c r="AF162" s="8" t="s">
        <v>62</v>
      </c>
      <c r="AG162" s="8" t="s">
        <v>62</v>
      </c>
      <c r="AH162" s="7" t="n">
        <f aca="false">(O162='Labeling Rules'!$C$6)*'Labeling Rules'!$D$6+(Q162='Labeling Rules'!$C$7)*'Labeling Rules'!$D$7+(R162='Labeling Rules'!$C$8)*'Labeling Rules'!$D$8+(R162='Labeling Rules'!$C$9)*'Labeling Rules'!$D$9+(P162='Labeling Rules'!$C$10)*'Labeling Rules'!$D$10+(M162='Labeling Rules'!$C$11)*'Labeling Rules'!$D$11+(T162='Labeling Rules'!$C$12)*'Labeling Rules'!$D$12+(U162='Labeling Rules'!$C$13)*'Labeling Rules'!$D$13+(W162='Labeling Rules'!$C$14)*'Labeling Rules'!$D$14+(Y162='Labeling Rules'!$C$15)*'Labeling Rules'!$D$15</f>
        <v>5</v>
      </c>
      <c r="AI162" s="7" t="n">
        <f aca="false">IF(AH162&gt;='Labeling Rules'!$D$17,1,0)</f>
        <v>1</v>
      </c>
    </row>
    <row r="163" customFormat="false" ht="14.25" hidden="false" customHeight="false" outlineLevel="0" collapsed="false">
      <c r="A163" s="0" t="n">
        <v>162</v>
      </c>
      <c r="B163" s="6" t="n">
        <v>46162.7888310185</v>
      </c>
      <c r="C163" s="6" t="n">
        <v>46162.7911574074</v>
      </c>
      <c r="D163" s="8" t="s">
        <v>35</v>
      </c>
      <c r="E163" s="8"/>
      <c r="F163" s="9" t="s">
        <v>36</v>
      </c>
      <c r="G163" s="9" t="s">
        <v>37</v>
      </c>
      <c r="H163" s="9" t="s">
        <v>38</v>
      </c>
      <c r="I163" s="9" t="s">
        <v>64</v>
      </c>
      <c r="J163" s="9" t="s">
        <v>56</v>
      </c>
      <c r="K163" s="9" t="s">
        <v>41</v>
      </c>
      <c r="L163" s="9" t="s">
        <v>42</v>
      </c>
      <c r="M163" s="9" t="s">
        <v>43</v>
      </c>
      <c r="N163" s="9" t="s">
        <v>43</v>
      </c>
      <c r="O163" s="9" t="s">
        <v>66</v>
      </c>
      <c r="P163" s="9" t="s">
        <v>76</v>
      </c>
      <c r="Q163" s="9" t="s">
        <v>81</v>
      </c>
      <c r="R163" s="9" t="s">
        <v>42</v>
      </c>
      <c r="S163" s="9" t="s">
        <v>47</v>
      </c>
      <c r="T163" s="9" t="s">
        <v>48</v>
      </c>
      <c r="U163" s="9" t="s">
        <v>49</v>
      </c>
      <c r="V163" s="9" t="s">
        <v>82</v>
      </c>
      <c r="W163" s="9" t="s">
        <v>48</v>
      </c>
      <c r="X163" s="9" t="s">
        <v>59</v>
      </c>
      <c r="Y163" s="9" t="s">
        <v>42</v>
      </c>
      <c r="Z163" s="9" t="s">
        <v>42</v>
      </c>
      <c r="AA163" s="9" t="s">
        <v>77</v>
      </c>
      <c r="AB163" s="9" t="s">
        <v>49</v>
      </c>
      <c r="AC163" s="8" t="s">
        <v>245</v>
      </c>
      <c r="AD163" s="9" t="s">
        <v>48</v>
      </c>
      <c r="AE163" s="9" t="s">
        <v>74</v>
      </c>
      <c r="AF163" s="9" t="s">
        <v>297</v>
      </c>
      <c r="AG163" s="9" t="s">
        <v>42</v>
      </c>
      <c r="AH163" s="7" t="n">
        <f aca="false">(O163='Labeling Rules'!$C$6)*'Labeling Rules'!$D$6+(Q163='Labeling Rules'!$C$7)*'Labeling Rules'!$D$7+(R163='Labeling Rules'!$C$8)*'Labeling Rules'!$D$8+(R163='Labeling Rules'!$C$9)*'Labeling Rules'!$D$9+(P163='Labeling Rules'!$C$10)*'Labeling Rules'!$D$10+(M163='Labeling Rules'!$C$11)*'Labeling Rules'!$D$11+(T163='Labeling Rules'!$C$12)*'Labeling Rules'!$D$12+(U163='Labeling Rules'!$C$13)*'Labeling Rules'!$D$13+(W163='Labeling Rules'!$C$14)*'Labeling Rules'!$D$14+(Y163='Labeling Rules'!$C$15)*'Labeling Rules'!$D$15</f>
        <v>5</v>
      </c>
      <c r="AI163" s="7" t="n">
        <f aca="false">IF(AH163&gt;='Labeling Rules'!$D$17,1,0)</f>
        <v>1</v>
      </c>
    </row>
    <row r="164" customFormat="false" ht="14.25" hidden="false" customHeight="false" outlineLevel="0" collapsed="false">
      <c r="A164" s="0" t="n">
        <v>163</v>
      </c>
      <c r="B164" s="6" t="n">
        <v>46162.8137268519</v>
      </c>
      <c r="C164" s="6" t="n">
        <v>46162.817662037</v>
      </c>
      <c r="D164" s="8" t="s">
        <v>35</v>
      </c>
      <c r="E164" s="8"/>
      <c r="F164" s="9" t="s">
        <v>63</v>
      </c>
      <c r="G164" s="9" t="s">
        <v>37</v>
      </c>
      <c r="H164" s="9" t="s">
        <v>38</v>
      </c>
      <c r="I164" s="9" t="s">
        <v>64</v>
      </c>
      <c r="J164" s="9" t="s">
        <v>65</v>
      </c>
      <c r="K164" s="9" t="s">
        <v>41</v>
      </c>
      <c r="L164" s="9" t="s">
        <v>42</v>
      </c>
      <c r="M164" s="9" t="s">
        <v>49</v>
      </c>
      <c r="N164" s="9" t="s">
        <v>74</v>
      </c>
      <c r="O164" s="9" t="s">
        <v>57</v>
      </c>
      <c r="P164" s="9" t="s">
        <v>76</v>
      </c>
      <c r="Q164" s="9" t="s">
        <v>58</v>
      </c>
      <c r="R164" s="9" t="s">
        <v>48</v>
      </c>
      <c r="S164" s="9" t="s">
        <v>47</v>
      </c>
      <c r="T164" s="9" t="s">
        <v>48</v>
      </c>
      <c r="U164" s="9" t="s">
        <v>44</v>
      </c>
      <c r="V164" s="9" t="s">
        <v>82</v>
      </c>
      <c r="W164" s="9" t="s">
        <v>48</v>
      </c>
      <c r="X164" s="9" t="s">
        <v>76</v>
      </c>
      <c r="Y164" s="9" t="s">
        <v>42</v>
      </c>
      <c r="Z164" s="9" t="s">
        <v>48</v>
      </c>
      <c r="AA164" s="9" t="s">
        <v>67</v>
      </c>
      <c r="AB164" s="9" t="s">
        <v>48</v>
      </c>
      <c r="AC164" s="8" t="s">
        <v>221</v>
      </c>
      <c r="AD164" s="9" t="s">
        <v>48</v>
      </c>
      <c r="AE164" s="9" t="s">
        <v>44</v>
      </c>
      <c r="AF164" s="9" t="s">
        <v>298</v>
      </c>
      <c r="AG164" s="9" t="s">
        <v>48</v>
      </c>
      <c r="AH164" s="7" t="n">
        <f aca="false">(O164='Labeling Rules'!$C$6)*'Labeling Rules'!$D$6+(Q164='Labeling Rules'!$C$7)*'Labeling Rules'!$D$7+(R164='Labeling Rules'!$C$8)*'Labeling Rules'!$D$8+(R164='Labeling Rules'!$C$9)*'Labeling Rules'!$D$9+(P164='Labeling Rules'!$C$10)*'Labeling Rules'!$D$10+(M164='Labeling Rules'!$C$11)*'Labeling Rules'!$D$11+(T164='Labeling Rules'!$C$12)*'Labeling Rules'!$D$12+(U164='Labeling Rules'!$C$13)*'Labeling Rules'!$D$13+(W164='Labeling Rules'!$C$14)*'Labeling Rules'!$D$14+(Y164='Labeling Rules'!$C$15)*'Labeling Rules'!$D$15</f>
        <v>1</v>
      </c>
      <c r="AI164" s="7" t="n">
        <f aca="false">IF(AH164&gt;='Labeling Rules'!$D$17,1,0)</f>
        <v>0</v>
      </c>
    </row>
    <row r="165" customFormat="false" ht="14.25" hidden="false" customHeight="false" outlineLevel="0" collapsed="false">
      <c r="A165" s="0" t="n">
        <v>164</v>
      </c>
      <c r="B165" s="6" t="n">
        <v>46162.8178703704</v>
      </c>
      <c r="C165" s="6" t="n">
        <v>46162.8202893519</v>
      </c>
      <c r="D165" s="8" t="s">
        <v>35</v>
      </c>
      <c r="E165" s="8"/>
      <c r="F165" s="9" t="s">
        <v>63</v>
      </c>
      <c r="G165" s="9" t="s">
        <v>73</v>
      </c>
      <c r="H165" s="9" t="s">
        <v>38</v>
      </c>
      <c r="I165" s="9" t="s">
        <v>64</v>
      </c>
      <c r="J165" s="9" t="s">
        <v>56</v>
      </c>
      <c r="K165" s="9" t="s">
        <v>41</v>
      </c>
      <c r="L165" s="9" t="s">
        <v>42</v>
      </c>
      <c r="M165" s="9" t="s">
        <v>49</v>
      </c>
      <c r="N165" s="9" t="s">
        <v>43</v>
      </c>
      <c r="O165" s="9" t="s">
        <v>57</v>
      </c>
      <c r="P165" s="9" t="s">
        <v>76</v>
      </c>
      <c r="Q165" s="9" t="s">
        <v>46</v>
      </c>
      <c r="R165" s="9" t="s">
        <v>48</v>
      </c>
      <c r="S165" s="9" t="s">
        <v>48</v>
      </c>
      <c r="T165" s="9" t="s">
        <v>42</v>
      </c>
      <c r="U165" s="9" t="s">
        <v>44</v>
      </c>
      <c r="V165" s="9" t="s">
        <v>74</v>
      </c>
      <c r="W165" s="9" t="s">
        <v>48</v>
      </c>
      <c r="X165" s="9" t="s">
        <v>59</v>
      </c>
      <c r="Y165" s="9" t="s">
        <v>48</v>
      </c>
      <c r="Z165" s="9" t="s">
        <v>50</v>
      </c>
      <c r="AA165" s="9" t="s">
        <v>51</v>
      </c>
      <c r="AB165" s="9" t="s">
        <v>42</v>
      </c>
      <c r="AC165" s="8" t="s">
        <v>221</v>
      </c>
      <c r="AD165" s="9" t="s">
        <v>76</v>
      </c>
      <c r="AE165" s="9" t="s">
        <v>49</v>
      </c>
      <c r="AF165" s="9" t="s">
        <v>299</v>
      </c>
      <c r="AG165" s="9" t="s">
        <v>42</v>
      </c>
      <c r="AH165" s="7" t="n">
        <f aca="false">(O165='Labeling Rules'!$C$6)*'Labeling Rules'!$D$6+(Q165='Labeling Rules'!$C$7)*'Labeling Rules'!$D$7+(R165='Labeling Rules'!$C$8)*'Labeling Rules'!$D$8+(R165='Labeling Rules'!$C$9)*'Labeling Rules'!$D$9+(P165='Labeling Rules'!$C$10)*'Labeling Rules'!$D$10+(M165='Labeling Rules'!$C$11)*'Labeling Rules'!$D$11+(T165='Labeling Rules'!$C$12)*'Labeling Rules'!$D$12+(U165='Labeling Rules'!$C$13)*'Labeling Rules'!$D$13+(W165='Labeling Rules'!$C$14)*'Labeling Rules'!$D$14+(Y165='Labeling Rules'!$C$15)*'Labeling Rules'!$D$15</f>
        <v>1</v>
      </c>
      <c r="AI165" s="7" t="n">
        <f aca="false">IF(AH165&gt;='Labeling Rules'!$D$17,1,0)</f>
        <v>0</v>
      </c>
    </row>
    <row r="166" customFormat="false" ht="14.25" hidden="false" customHeight="false" outlineLevel="0" collapsed="false">
      <c r="A166" s="0" t="n">
        <v>165</v>
      </c>
      <c r="B166" s="6" t="n">
        <v>46162.8738425926</v>
      </c>
      <c r="C166" s="6" t="n">
        <v>46162.8778703704</v>
      </c>
      <c r="D166" s="8" t="s">
        <v>35</v>
      </c>
      <c r="E166" s="8"/>
      <c r="F166" s="9" t="s">
        <v>36</v>
      </c>
      <c r="G166" s="9" t="s">
        <v>37</v>
      </c>
      <c r="H166" s="9" t="s">
        <v>38</v>
      </c>
      <c r="I166" s="9" t="s">
        <v>39</v>
      </c>
      <c r="J166" s="9" t="s">
        <v>65</v>
      </c>
      <c r="K166" s="9" t="s">
        <v>41</v>
      </c>
      <c r="L166" s="9" t="s">
        <v>42</v>
      </c>
      <c r="M166" s="9" t="s">
        <v>43</v>
      </c>
      <c r="N166" s="9" t="s">
        <v>49</v>
      </c>
      <c r="O166" s="9" t="s">
        <v>45</v>
      </c>
      <c r="P166" s="9" t="s">
        <v>76</v>
      </c>
      <c r="Q166" s="9" t="s">
        <v>81</v>
      </c>
      <c r="R166" s="9" t="s">
        <v>49</v>
      </c>
      <c r="S166" s="9" t="s">
        <v>47</v>
      </c>
      <c r="T166" s="9" t="s">
        <v>48</v>
      </c>
      <c r="U166" s="9" t="s">
        <v>44</v>
      </c>
      <c r="V166" s="9" t="s">
        <v>82</v>
      </c>
      <c r="W166" s="9" t="s">
        <v>42</v>
      </c>
      <c r="X166" s="9" t="s">
        <v>76</v>
      </c>
      <c r="Y166" s="9" t="s">
        <v>42</v>
      </c>
      <c r="Z166" s="9" t="s">
        <v>42</v>
      </c>
      <c r="AA166" s="9" t="s">
        <v>77</v>
      </c>
      <c r="AB166" s="9" t="s">
        <v>42</v>
      </c>
      <c r="AC166" s="8" t="s">
        <v>235</v>
      </c>
      <c r="AD166" s="9" t="s">
        <v>48</v>
      </c>
      <c r="AE166" s="9" t="s">
        <v>49</v>
      </c>
      <c r="AF166" s="8" t="s">
        <v>300</v>
      </c>
      <c r="AG166" s="8" t="s">
        <v>94</v>
      </c>
      <c r="AH166" s="7" t="n">
        <f aca="false">(O166='Labeling Rules'!$C$6)*'Labeling Rules'!$D$6+(Q166='Labeling Rules'!$C$7)*'Labeling Rules'!$D$7+(R166='Labeling Rules'!$C$8)*'Labeling Rules'!$D$8+(R166='Labeling Rules'!$C$9)*'Labeling Rules'!$D$9+(P166='Labeling Rules'!$C$10)*'Labeling Rules'!$D$10+(M166='Labeling Rules'!$C$11)*'Labeling Rules'!$D$11+(T166='Labeling Rules'!$C$12)*'Labeling Rules'!$D$12+(U166='Labeling Rules'!$C$13)*'Labeling Rules'!$D$13+(W166='Labeling Rules'!$C$14)*'Labeling Rules'!$D$14+(Y166='Labeling Rules'!$C$15)*'Labeling Rules'!$D$15</f>
        <v>7</v>
      </c>
      <c r="AI166" s="7" t="n">
        <f aca="false">IF(AH166&gt;='Labeling Rules'!$D$17,1,0)</f>
        <v>1</v>
      </c>
    </row>
    <row r="167" customFormat="false" ht="14.25" hidden="false" customHeight="false" outlineLevel="0" collapsed="false">
      <c r="A167" s="0" t="n">
        <v>166</v>
      </c>
      <c r="B167" s="6" t="n">
        <v>46162.8845949074</v>
      </c>
      <c r="C167" s="6" t="n">
        <v>46162.8864351852</v>
      </c>
      <c r="D167" s="8" t="s">
        <v>35</v>
      </c>
      <c r="E167" s="8"/>
      <c r="F167" s="9" t="s">
        <v>36</v>
      </c>
      <c r="G167" s="9" t="s">
        <v>69</v>
      </c>
      <c r="H167" s="9" t="s">
        <v>38</v>
      </c>
      <c r="I167" s="9" t="s">
        <v>64</v>
      </c>
      <c r="J167" s="9" t="s">
        <v>65</v>
      </c>
      <c r="K167" s="9" t="s">
        <v>41</v>
      </c>
      <c r="L167" s="9" t="s">
        <v>42</v>
      </c>
      <c r="M167" s="9" t="s">
        <v>49</v>
      </c>
      <c r="N167" s="9" t="s">
        <v>49</v>
      </c>
      <c r="O167" s="9" t="s">
        <v>66</v>
      </c>
      <c r="P167" s="9" t="s">
        <v>76</v>
      </c>
      <c r="Q167" s="9" t="s">
        <v>46</v>
      </c>
      <c r="R167" s="9" t="s">
        <v>49</v>
      </c>
      <c r="S167" s="9" t="s">
        <v>47</v>
      </c>
      <c r="T167" s="9" t="s">
        <v>48</v>
      </c>
      <c r="U167" s="9" t="s">
        <v>49</v>
      </c>
      <c r="V167" s="9" t="s">
        <v>49</v>
      </c>
      <c r="W167" s="9" t="s">
        <v>48</v>
      </c>
      <c r="X167" s="9" t="s">
        <v>76</v>
      </c>
      <c r="Y167" s="9" t="s">
        <v>42</v>
      </c>
      <c r="Z167" s="9" t="s">
        <v>83</v>
      </c>
      <c r="AA167" s="9" t="s">
        <v>77</v>
      </c>
      <c r="AB167" s="9" t="s">
        <v>49</v>
      </c>
      <c r="AC167" s="8" t="s">
        <v>228</v>
      </c>
      <c r="AD167" s="9" t="s">
        <v>42</v>
      </c>
      <c r="AE167" s="9" t="s">
        <v>49</v>
      </c>
      <c r="AF167" s="8" t="s">
        <v>301</v>
      </c>
      <c r="AG167" s="8" t="s">
        <v>301</v>
      </c>
      <c r="AH167" s="7" t="n">
        <f aca="false">(O167='Labeling Rules'!$C$6)*'Labeling Rules'!$D$6+(Q167='Labeling Rules'!$C$7)*'Labeling Rules'!$D$7+(R167='Labeling Rules'!$C$8)*'Labeling Rules'!$D$8+(R167='Labeling Rules'!$C$9)*'Labeling Rules'!$D$9+(P167='Labeling Rules'!$C$10)*'Labeling Rules'!$D$10+(M167='Labeling Rules'!$C$11)*'Labeling Rules'!$D$11+(T167='Labeling Rules'!$C$12)*'Labeling Rules'!$D$12+(U167='Labeling Rules'!$C$13)*'Labeling Rules'!$D$13+(W167='Labeling Rules'!$C$14)*'Labeling Rules'!$D$14+(Y167='Labeling Rules'!$C$15)*'Labeling Rules'!$D$15</f>
        <v>2</v>
      </c>
      <c r="AI167" s="7" t="n">
        <f aca="false">IF(AH167&gt;='Labeling Rules'!$D$17,1,0)</f>
        <v>0</v>
      </c>
    </row>
    <row r="168" customFormat="false" ht="14.25" hidden="false" customHeight="false" outlineLevel="0" collapsed="false">
      <c r="A168" s="0" t="n">
        <v>167</v>
      </c>
      <c r="B168" s="6" t="n">
        <v>46162.8810300926</v>
      </c>
      <c r="C168" s="6" t="n">
        <v>46162.8908680556</v>
      </c>
      <c r="D168" s="8" t="s">
        <v>35</v>
      </c>
      <c r="E168" s="8"/>
      <c r="F168" s="9" t="s">
        <v>36</v>
      </c>
      <c r="G168" s="9" t="s">
        <v>69</v>
      </c>
      <c r="H168" s="9" t="s">
        <v>302</v>
      </c>
      <c r="I168" s="9" t="s">
        <v>155</v>
      </c>
      <c r="J168" s="9" t="s">
        <v>40</v>
      </c>
      <c r="K168" s="9" t="s">
        <v>41</v>
      </c>
      <c r="L168" s="9" t="s">
        <v>42</v>
      </c>
      <c r="M168" s="9" t="s">
        <v>43</v>
      </c>
      <c r="N168" s="9" t="s">
        <v>74</v>
      </c>
      <c r="O168" s="9" t="s">
        <v>45</v>
      </c>
      <c r="P168" s="9" t="s">
        <v>42</v>
      </c>
      <c r="Q168" s="9" t="s">
        <v>58</v>
      </c>
      <c r="R168" s="9" t="s">
        <v>49</v>
      </c>
      <c r="S168" s="9" t="s">
        <v>47</v>
      </c>
      <c r="T168" s="9" t="s">
        <v>48</v>
      </c>
      <c r="U168" s="9" t="s">
        <v>44</v>
      </c>
      <c r="V168" s="9" t="s">
        <v>49</v>
      </c>
      <c r="W168" s="9" t="s">
        <v>48</v>
      </c>
      <c r="X168" s="9" t="s">
        <v>59</v>
      </c>
      <c r="Y168" s="9" t="s">
        <v>48</v>
      </c>
      <c r="Z168" s="9" t="s">
        <v>50</v>
      </c>
      <c r="AA168" s="9" t="s">
        <v>51</v>
      </c>
      <c r="AB168" s="9" t="s">
        <v>49</v>
      </c>
      <c r="AC168" s="8" t="s">
        <v>303</v>
      </c>
      <c r="AD168" s="9" t="s">
        <v>76</v>
      </c>
      <c r="AE168" s="9" t="s">
        <v>49</v>
      </c>
      <c r="AF168" s="8" t="s">
        <v>304</v>
      </c>
      <c r="AG168" s="8" t="s">
        <v>305</v>
      </c>
      <c r="AH168" s="7" t="n">
        <f aca="false">(O168='Labeling Rules'!$C$6)*'Labeling Rules'!$D$6+(Q168='Labeling Rules'!$C$7)*'Labeling Rules'!$D$7+(R168='Labeling Rules'!$C$8)*'Labeling Rules'!$D$8+(R168='Labeling Rules'!$C$9)*'Labeling Rules'!$D$9+(P168='Labeling Rules'!$C$10)*'Labeling Rules'!$D$10+(M168='Labeling Rules'!$C$11)*'Labeling Rules'!$D$11+(T168='Labeling Rules'!$C$12)*'Labeling Rules'!$D$12+(U168='Labeling Rules'!$C$13)*'Labeling Rules'!$D$13+(W168='Labeling Rules'!$C$14)*'Labeling Rules'!$D$14+(Y168='Labeling Rules'!$C$15)*'Labeling Rules'!$D$15</f>
        <v>3</v>
      </c>
      <c r="AI168" s="7" t="n">
        <f aca="false">IF(AH168&gt;='Labeling Rules'!$D$17,1,0)</f>
        <v>0</v>
      </c>
    </row>
    <row r="169" customFormat="false" ht="14.25" hidden="false" customHeight="false" outlineLevel="0" collapsed="false">
      <c r="A169" s="0" t="n">
        <v>168</v>
      </c>
      <c r="B169" s="6" t="n">
        <v>46162.8981365741</v>
      </c>
      <c r="C169" s="6" t="n">
        <v>46162.9016319444</v>
      </c>
      <c r="D169" s="8" t="s">
        <v>35</v>
      </c>
      <c r="E169" s="8"/>
      <c r="F169" s="9" t="s">
        <v>36</v>
      </c>
      <c r="G169" s="9" t="s">
        <v>69</v>
      </c>
      <c r="H169" s="9" t="s">
        <v>181</v>
      </c>
      <c r="I169" s="9" t="s">
        <v>80</v>
      </c>
      <c r="J169" s="9" t="s">
        <v>56</v>
      </c>
      <c r="K169" s="9" t="s">
        <v>41</v>
      </c>
      <c r="L169" s="9" t="s">
        <v>42</v>
      </c>
      <c r="M169" s="9" t="s">
        <v>49</v>
      </c>
      <c r="N169" s="9" t="s">
        <v>49</v>
      </c>
      <c r="O169" s="9" t="s">
        <v>45</v>
      </c>
      <c r="P169" s="9" t="s">
        <v>76</v>
      </c>
      <c r="Q169" s="9" t="s">
        <v>58</v>
      </c>
      <c r="R169" s="9" t="s">
        <v>49</v>
      </c>
      <c r="S169" s="9" t="s">
        <v>47</v>
      </c>
      <c r="T169" s="9" t="s">
        <v>48</v>
      </c>
      <c r="U169" s="9" t="s">
        <v>44</v>
      </c>
      <c r="V169" s="9" t="s">
        <v>49</v>
      </c>
      <c r="W169" s="9" t="s">
        <v>48</v>
      </c>
      <c r="X169" s="9" t="s">
        <v>76</v>
      </c>
      <c r="Y169" s="9" t="s">
        <v>48</v>
      </c>
      <c r="Z169" s="9" t="s">
        <v>50</v>
      </c>
      <c r="AA169" s="9" t="s">
        <v>77</v>
      </c>
      <c r="AB169" s="9" t="s">
        <v>42</v>
      </c>
      <c r="AC169" s="8" t="s">
        <v>221</v>
      </c>
      <c r="AD169" s="9" t="s">
        <v>76</v>
      </c>
      <c r="AE169" s="9" t="s">
        <v>49</v>
      </c>
      <c r="AF169" s="8" t="s">
        <v>306</v>
      </c>
      <c r="AG169" s="8" t="s">
        <v>94</v>
      </c>
      <c r="AH169" s="7" t="n">
        <f aca="false">(O169='Labeling Rules'!$C$6)*'Labeling Rules'!$D$6+(Q169='Labeling Rules'!$C$7)*'Labeling Rules'!$D$7+(R169='Labeling Rules'!$C$8)*'Labeling Rules'!$D$8+(R169='Labeling Rules'!$C$9)*'Labeling Rules'!$D$9+(P169='Labeling Rules'!$C$10)*'Labeling Rules'!$D$10+(M169='Labeling Rules'!$C$11)*'Labeling Rules'!$D$11+(T169='Labeling Rules'!$C$12)*'Labeling Rules'!$D$12+(U169='Labeling Rules'!$C$13)*'Labeling Rules'!$D$13+(W169='Labeling Rules'!$C$14)*'Labeling Rules'!$D$14+(Y169='Labeling Rules'!$C$15)*'Labeling Rules'!$D$15</f>
        <v>3</v>
      </c>
      <c r="AI169" s="7" t="n">
        <f aca="false">IF(AH169&gt;='Labeling Rules'!$D$17,1,0)</f>
        <v>0</v>
      </c>
    </row>
    <row r="170" customFormat="false" ht="14.25" hidden="false" customHeight="false" outlineLevel="0" collapsed="false">
      <c r="A170" s="0" t="n">
        <v>169</v>
      </c>
      <c r="B170" s="6" t="n">
        <v>46162.9607407407</v>
      </c>
      <c r="C170" s="6" t="n">
        <v>46162.9652083333</v>
      </c>
      <c r="D170" s="8" t="s">
        <v>35</v>
      </c>
      <c r="E170" s="8"/>
      <c r="F170" s="9" t="s">
        <v>36</v>
      </c>
      <c r="G170" s="9" t="s">
        <v>37</v>
      </c>
      <c r="H170" s="9" t="s">
        <v>38</v>
      </c>
      <c r="I170" s="9" t="s">
        <v>64</v>
      </c>
      <c r="J170" s="9" t="s">
        <v>56</v>
      </c>
      <c r="K170" s="9" t="s">
        <v>41</v>
      </c>
      <c r="L170" s="9" t="s">
        <v>42</v>
      </c>
      <c r="M170" s="9" t="s">
        <v>43</v>
      </c>
      <c r="N170" s="9" t="s">
        <v>74</v>
      </c>
      <c r="O170" s="9" t="s">
        <v>45</v>
      </c>
      <c r="P170" s="9" t="s">
        <v>76</v>
      </c>
      <c r="Q170" s="9" t="s">
        <v>46</v>
      </c>
      <c r="R170" s="9" t="s">
        <v>49</v>
      </c>
      <c r="S170" s="9" t="s">
        <v>47</v>
      </c>
      <c r="T170" s="9" t="s">
        <v>42</v>
      </c>
      <c r="U170" s="9" t="s">
        <v>44</v>
      </c>
      <c r="V170" s="9" t="s">
        <v>75</v>
      </c>
      <c r="W170" s="9" t="s">
        <v>48</v>
      </c>
      <c r="X170" s="9" t="s">
        <v>76</v>
      </c>
      <c r="Y170" s="9" t="s">
        <v>42</v>
      </c>
      <c r="Z170" s="9" t="s">
        <v>83</v>
      </c>
      <c r="AA170" s="9" t="s">
        <v>77</v>
      </c>
      <c r="AB170" s="9" t="s">
        <v>49</v>
      </c>
      <c r="AC170" s="8" t="s">
        <v>307</v>
      </c>
      <c r="AD170" s="9" t="s">
        <v>76</v>
      </c>
      <c r="AE170" s="9" t="s">
        <v>49</v>
      </c>
      <c r="AF170" s="9" t="s">
        <v>308</v>
      </c>
      <c r="AG170" s="9" t="s">
        <v>54</v>
      </c>
      <c r="AH170" s="7" t="n">
        <f aca="false">(O170='Labeling Rules'!$C$6)*'Labeling Rules'!$D$6+(Q170='Labeling Rules'!$C$7)*'Labeling Rules'!$D$7+(R170='Labeling Rules'!$C$8)*'Labeling Rules'!$D$8+(R170='Labeling Rules'!$C$9)*'Labeling Rules'!$D$9+(P170='Labeling Rules'!$C$10)*'Labeling Rules'!$D$10+(M170='Labeling Rules'!$C$11)*'Labeling Rules'!$D$11+(T170='Labeling Rules'!$C$12)*'Labeling Rules'!$D$12+(U170='Labeling Rules'!$C$13)*'Labeling Rules'!$D$13+(W170='Labeling Rules'!$C$14)*'Labeling Rules'!$D$14+(Y170='Labeling Rules'!$C$15)*'Labeling Rules'!$D$15</f>
        <v>5</v>
      </c>
      <c r="AI170" s="7" t="n">
        <f aca="false">IF(AH170&gt;='Labeling Rules'!$D$17,1,0)</f>
        <v>1</v>
      </c>
    </row>
    <row r="171" customFormat="false" ht="14.25" hidden="false" customHeight="false" outlineLevel="0" collapsed="false">
      <c r="A171" s="0" t="n">
        <v>170</v>
      </c>
      <c r="B171" s="6" t="n">
        <v>46162.9658912037</v>
      </c>
      <c r="C171" s="6" t="n">
        <v>46162.9720023148</v>
      </c>
      <c r="D171" s="8" t="s">
        <v>35</v>
      </c>
      <c r="E171" s="8"/>
      <c r="F171" s="9" t="s">
        <v>36</v>
      </c>
      <c r="G171" s="9" t="s">
        <v>37</v>
      </c>
      <c r="H171" s="9" t="s">
        <v>38</v>
      </c>
      <c r="I171" s="9" t="s">
        <v>39</v>
      </c>
      <c r="J171" s="9" t="s">
        <v>65</v>
      </c>
      <c r="K171" s="9" t="s">
        <v>41</v>
      </c>
      <c r="L171" s="9" t="s">
        <v>42</v>
      </c>
      <c r="M171" s="9" t="s">
        <v>43</v>
      </c>
      <c r="N171" s="9" t="s">
        <v>44</v>
      </c>
      <c r="O171" s="9" t="s">
        <v>57</v>
      </c>
      <c r="P171" s="9" t="s">
        <v>76</v>
      </c>
      <c r="Q171" s="9" t="s">
        <v>58</v>
      </c>
      <c r="R171" s="9" t="s">
        <v>42</v>
      </c>
      <c r="S171" s="9" t="s">
        <v>48</v>
      </c>
      <c r="T171" s="9" t="s">
        <v>42</v>
      </c>
      <c r="U171" s="9" t="s">
        <v>44</v>
      </c>
      <c r="V171" s="9" t="s">
        <v>49</v>
      </c>
      <c r="W171" s="9" t="s">
        <v>48</v>
      </c>
      <c r="X171" s="9" t="s">
        <v>59</v>
      </c>
      <c r="Y171" s="9" t="s">
        <v>48</v>
      </c>
      <c r="Z171" s="9" t="s">
        <v>50</v>
      </c>
      <c r="AA171" s="9" t="s">
        <v>67</v>
      </c>
      <c r="AB171" s="9" t="s">
        <v>49</v>
      </c>
      <c r="AC171" s="8" t="s">
        <v>221</v>
      </c>
      <c r="AD171" s="9" t="s">
        <v>42</v>
      </c>
      <c r="AE171" s="9" t="s">
        <v>44</v>
      </c>
      <c r="AF171" s="8" t="s">
        <v>309</v>
      </c>
      <c r="AG171" s="8" t="s">
        <v>206</v>
      </c>
      <c r="AH171" s="7" t="n">
        <f aca="false">(O171='Labeling Rules'!$C$6)*'Labeling Rules'!$D$6+(Q171='Labeling Rules'!$C$7)*'Labeling Rules'!$D$7+(R171='Labeling Rules'!$C$8)*'Labeling Rules'!$D$8+(R171='Labeling Rules'!$C$9)*'Labeling Rules'!$D$9+(P171='Labeling Rules'!$C$10)*'Labeling Rules'!$D$10+(M171='Labeling Rules'!$C$11)*'Labeling Rules'!$D$11+(T171='Labeling Rules'!$C$12)*'Labeling Rules'!$D$12+(U171='Labeling Rules'!$C$13)*'Labeling Rules'!$D$13+(W171='Labeling Rules'!$C$14)*'Labeling Rules'!$D$14+(Y171='Labeling Rules'!$C$15)*'Labeling Rules'!$D$15</f>
        <v>3</v>
      </c>
      <c r="AI171" s="7" t="n">
        <f aca="false">IF(AH171&gt;='Labeling Rules'!$D$17,1,0)</f>
        <v>0</v>
      </c>
    </row>
    <row r="172" customFormat="false" ht="14.25" hidden="false" customHeight="false" outlineLevel="0" collapsed="false">
      <c r="A172" s="0" t="n">
        <v>171</v>
      </c>
      <c r="B172" s="6" t="n">
        <v>46163.0338888889</v>
      </c>
      <c r="C172" s="6" t="n">
        <v>46163.0354976852</v>
      </c>
      <c r="D172" s="8" t="s">
        <v>35</v>
      </c>
      <c r="E172" s="8"/>
      <c r="F172" s="9" t="s">
        <v>36</v>
      </c>
      <c r="G172" s="9" t="s">
        <v>137</v>
      </c>
      <c r="H172" s="9" t="s">
        <v>38</v>
      </c>
      <c r="I172" s="9" t="s">
        <v>64</v>
      </c>
      <c r="J172" s="9" t="s">
        <v>56</v>
      </c>
      <c r="K172" s="9" t="s">
        <v>41</v>
      </c>
      <c r="L172" s="9" t="s">
        <v>42</v>
      </c>
      <c r="M172" s="9" t="s">
        <v>43</v>
      </c>
      <c r="N172" s="9" t="s">
        <v>49</v>
      </c>
      <c r="O172" s="9" t="s">
        <v>66</v>
      </c>
      <c r="P172" s="9" t="s">
        <v>42</v>
      </c>
      <c r="Q172" s="9" t="s">
        <v>81</v>
      </c>
      <c r="R172" s="9" t="s">
        <v>49</v>
      </c>
      <c r="S172" s="9" t="s">
        <v>47</v>
      </c>
      <c r="T172" s="9" t="s">
        <v>48</v>
      </c>
      <c r="U172" s="9" t="s">
        <v>44</v>
      </c>
      <c r="V172" s="9" t="s">
        <v>82</v>
      </c>
      <c r="W172" s="9" t="s">
        <v>48</v>
      </c>
      <c r="X172" s="9" t="s">
        <v>76</v>
      </c>
      <c r="Y172" s="9" t="s">
        <v>48</v>
      </c>
      <c r="Z172" s="9" t="s">
        <v>50</v>
      </c>
      <c r="AA172" s="9" t="s">
        <v>77</v>
      </c>
      <c r="AB172" s="9" t="s">
        <v>42</v>
      </c>
      <c r="AC172" s="8" t="s">
        <v>235</v>
      </c>
      <c r="AD172" s="9" t="s">
        <v>76</v>
      </c>
      <c r="AE172" s="9" t="s">
        <v>49</v>
      </c>
      <c r="AF172" s="8" t="s">
        <v>310</v>
      </c>
      <c r="AG172" s="8" t="s">
        <v>62</v>
      </c>
      <c r="AH172" s="7" t="n">
        <f aca="false">(O172='Labeling Rules'!$C$6)*'Labeling Rules'!$D$6+(Q172='Labeling Rules'!$C$7)*'Labeling Rules'!$D$7+(R172='Labeling Rules'!$C$8)*'Labeling Rules'!$D$8+(R172='Labeling Rules'!$C$9)*'Labeling Rules'!$D$9+(P172='Labeling Rules'!$C$10)*'Labeling Rules'!$D$10+(M172='Labeling Rules'!$C$11)*'Labeling Rules'!$D$11+(T172='Labeling Rules'!$C$12)*'Labeling Rules'!$D$12+(U172='Labeling Rules'!$C$13)*'Labeling Rules'!$D$13+(W172='Labeling Rules'!$C$14)*'Labeling Rules'!$D$14+(Y172='Labeling Rules'!$C$15)*'Labeling Rules'!$D$15</f>
        <v>3</v>
      </c>
      <c r="AI172" s="7" t="n">
        <f aca="false">IF(AH172&gt;='Labeling Rules'!$D$17,1,0)</f>
        <v>0</v>
      </c>
    </row>
    <row r="173" customFormat="false" ht="14.25" hidden="false" customHeight="false" outlineLevel="0" collapsed="false">
      <c r="A173" s="0" t="n">
        <v>172</v>
      </c>
      <c r="B173" s="6" t="n">
        <v>46163.2534375</v>
      </c>
      <c r="C173" s="6" t="n">
        <v>46163.2557523148</v>
      </c>
      <c r="D173" s="8" t="s">
        <v>35</v>
      </c>
      <c r="E173" s="8"/>
      <c r="F173" s="9" t="s">
        <v>36</v>
      </c>
      <c r="G173" s="9" t="s">
        <v>69</v>
      </c>
      <c r="H173" s="9" t="s">
        <v>38</v>
      </c>
      <c r="I173" s="9" t="s">
        <v>64</v>
      </c>
      <c r="J173" s="9" t="s">
        <v>65</v>
      </c>
      <c r="K173" s="9" t="s">
        <v>41</v>
      </c>
      <c r="L173" s="9" t="s">
        <v>42</v>
      </c>
      <c r="M173" s="9" t="s">
        <v>43</v>
      </c>
      <c r="N173" s="9" t="s">
        <v>44</v>
      </c>
      <c r="O173" s="9" t="s">
        <v>45</v>
      </c>
      <c r="P173" s="9" t="s">
        <v>76</v>
      </c>
      <c r="Q173" s="9" t="s">
        <v>58</v>
      </c>
      <c r="R173" s="9" t="s">
        <v>49</v>
      </c>
      <c r="S173" s="9" t="s">
        <v>48</v>
      </c>
      <c r="T173" s="9" t="s">
        <v>48</v>
      </c>
      <c r="U173" s="9" t="s">
        <v>44</v>
      </c>
      <c r="V173" s="9" t="s">
        <v>49</v>
      </c>
      <c r="W173" s="9" t="s">
        <v>48</v>
      </c>
      <c r="X173" s="9" t="s">
        <v>59</v>
      </c>
      <c r="Y173" s="9" t="s">
        <v>48</v>
      </c>
      <c r="Z173" s="9" t="s">
        <v>50</v>
      </c>
      <c r="AA173" s="9" t="s">
        <v>67</v>
      </c>
      <c r="AB173" s="9" t="s">
        <v>49</v>
      </c>
      <c r="AC173" s="8" t="s">
        <v>221</v>
      </c>
      <c r="AD173" s="9" t="s">
        <v>42</v>
      </c>
      <c r="AE173" s="9" t="s">
        <v>74</v>
      </c>
      <c r="AF173" s="9" t="s">
        <v>311</v>
      </c>
      <c r="AG173" s="9" t="s">
        <v>42</v>
      </c>
      <c r="AH173" s="7" t="n">
        <f aca="false">(O173='Labeling Rules'!$C$6)*'Labeling Rules'!$D$6+(Q173='Labeling Rules'!$C$7)*'Labeling Rules'!$D$7+(R173='Labeling Rules'!$C$8)*'Labeling Rules'!$D$8+(R173='Labeling Rules'!$C$9)*'Labeling Rules'!$D$9+(P173='Labeling Rules'!$C$10)*'Labeling Rules'!$D$10+(M173='Labeling Rules'!$C$11)*'Labeling Rules'!$D$11+(T173='Labeling Rules'!$C$12)*'Labeling Rules'!$D$12+(U173='Labeling Rules'!$C$13)*'Labeling Rules'!$D$13+(W173='Labeling Rules'!$C$14)*'Labeling Rules'!$D$14+(Y173='Labeling Rules'!$C$15)*'Labeling Rules'!$D$15</f>
        <v>3</v>
      </c>
      <c r="AI173" s="7" t="n">
        <f aca="false">IF(AH173&gt;='Labeling Rules'!$D$17,1,0)</f>
        <v>0</v>
      </c>
    </row>
    <row r="174" customFormat="false" ht="14.25" hidden="false" customHeight="false" outlineLevel="0" collapsed="false">
      <c r="A174" s="0" t="n">
        <v>173</v>
      </c>
      <c r="B174" s="6" t="n">
        <v>46163.3102893519</v>
      </c>
      <c r="C174" s="6" t="n">
        <v>46163.3145023148</v>
      </c>
      <c r="D174" s="8" t="s">
        <v>35</v>
      </c>
      <c r="E174" s="8"/>
      <c r="F174" s="9" t="s">
        <v>36</v>
      </c>
      <c r="G174" s="9" t="s">
        <v>37</v>
      </c>
      <c r="H174" s="9" t="s">
        <v>38</v>
      </c>
      <c r="I174" s="9" t="s">
        <v>64</v>
      </c>
      <c r="J174" s="9" t="s">
        <v>65</v>
      </c>
      <c r="K174" s="9" t="s">
        <v>41</v>
      </c>
      <c r="L174" s="9" t="s">
        <v>42</v>
      </c>
      <c r="M174" s="9" t="s">
        <v>74</v>
      </c>
      <c r="N174" s="9" t="s">
        <v>49</v>
      </c>
      <c r="O174" s="9" t="s">
        <v>66</v>
      </c>
      <c r="P174" s="9" t="s">
        <v>76</v>
      </c>
      <c r="Q174" s="9" t="s">
        <v>46</v>
      </c>
      <c r="R174" s="9" t="s">
        <v>42</v>
      </c>
      <c r="S174" s="9" t="s">
        <v>47</v>
      </c>
      <c r="T174" s="9" t="s">
        <v>42</v>
      </c>
      <c r="U174" s="9" t="s">
        <v>44</v>
      </c>
      <c r="V174" s="9" t="s">
        <v>82</v>
      </c>
      <c r="W174" s="9" t="s">
        <v>48</v>
      </c>
      <c r="X174" s="9" t="s">
        <v>76</v>
      </c>
      <c r="Y174" s="9" t="s">
        <v>48</v>
      </c>
      <c r="Z174" s="9" t="s">
        <v>50</v>
      </c>
      <c r="AA174" s="9" t="s">
        <v>77</v>
      </c>
      <c r="AB174" s="9" t="s">
        <v>49</v>
      </c>
      <c r="AC174" s="8" t="s">
        <v>221</v>
      </c>
      <c r="AD174" s="9" t="s">
        <v>76</v>
      </c>
      <c r="AE174" s="9" t="s">
        <v>49</v>
      </c>
      <c r="AF174" s="9" t="s">
        <v>312</v>
      </c>
      <c r="AG174" s="9" t="s">
        <v>313</v>
      </c>
      <c r="AH174" s="7" t="n">
        <f aca="false">(O174='Labeling Rules'!$C$6)*'Labeling Rules'!$D$6+(Q174='Labeling Rules'!$C$7)*'Labeling Rules'!$D$7+(R174='Labeling Rules'!$C$8)*'Labeling Rules'!$D$8+(R174='Labeling Rules'!$C$9)*'Labeling Rules'!$D$9+(P174='Labeling Rules'!$C$10)*'Labeling Rules'!$D$10+(M174='Labeling Rules'!$C$11)*'Labeling Rules'!$D$11+(T174='Labeling Rules'!$C$12)*'Labeling Rules'!$D$12+(U174='Labeling Rules'!$C$13)*'Labeling Rules'!$D$13+(W174='Labeling Rules'!$C$14)*'Labeling Rules'!$D$14+(Y174='Labeling Rules'!$C$15)*'Labeling Rules'!$D$15</f>
        <v>3</v>
      </c>
      <c r="AI174" s="7" t="n">
        <f aca="false">IF(AH174&gt;='Labeling Rules'!$D$17,1,0)</f>
        <v>0</v>
      </c>
    </row>
    <row r="175" customFormat="false" ht="14.25" hidden="false" customHeight="false" outlineLevel="0" collapsed="false">
      <c r="A175" s="0" t="n">
        <v>174</v>
      </c>
      <c r="B175" s="6" t="n">
        <v>46163.7925578704</v>
      </c>
      <c r="C175" s="6" t="n">
        <v>46163.7944791667</v>
      </c>
      <c r="D175" s="8" t="s">
        <v>35</v>
      </c>
      <c r="E175" s="8"/>
      <c r="F175" s="9" t="s">
        <v>36</v>
      </c>
      <c r="G175" s="9" t="s">
        <v>69</v>
      </c>
      <c r="H175" s="9" t="s">
        <v>181</v>
      </c>
      <c r="I175" s="9" t="s">
        <v>80</v>
      </c>
      <c r="J175" s="9" t="s">
        <v>65</v>
      </c>
      <c r="K175" s="9" t="s">
        <v>41</v>
      </c>
      <c r="L175" s="9" t="s">
        <v>42</v>
      </c>
      <c r="M175" s="9" t="s">
        <v>49</v>
      </c>
      <c r="N175" s="9" t="s">
        <v>49</v>
      </c>
      <c r="O175" s="9" t="s">
        <v>66</v>
      </c>
      <c r="P175" s="9" t="s">
        <v>76</v>
      </c>
      <c r="Q175" s="9" t="s">
        <v>81</v>
      </c>
      <c r="R175" s="9" t="s">
        <v>49</v>
      </c>
      <c r="S175" s="9" t="s">
        <v>47</v>
      </c>
      <c r="T175" s="9" t="s">
        <v>48</v>
      </c>
      <c r="U175" s="9" t="s">
        <v>49</v>
      </c>
      <c r="V175" s="9" t="s">
        <v>49</v>
      </c>
      <c r="W175" s="9" t="s">
        <v>48</v>
      </c>
      <c r="X175" s="9" t="s">
        <v>76</v>
      </c>
      <c r="Y175" s="9" t="s">
        <v>48</v>
      </c>
      <c r="Z175" s="9" t="s">
        <v>50</v>
      </c>
      <c r="AA175" s="9" t="s">
        <v>77</v>
      </c>
      <c r="AB175" s="9" t="s">
        <v>49</v>
      </c>
      <c r="AC175" s="8" t="s">
        <v>221</v>
      </c>
      <c r="AD175" s="9" t="s">
        <v>76</v>
      </c>
      <c r="AE175" s="9" t="s">
        <v>49</v>
      </c>
      <c r="AF175" s="8" t="s">
        <v>314</v>
      </c>
      <c r="AG175" s="8" t="s">
        <v>315</v>
      </c>
      <c r="AH175" s="7" t="n">
        <f aca="false">(O175='Labeling Rules'!$C$6)*'Labeling Rules'!$D$6+(Q175='Labeling Rules'!$C$7)*'Labeling Rules'!$D$7+(R175='Labeling Rules'!$C$8)*'Labeling Rules'!$D$8+(R175='Labeling Rules'!$C$9)*'Labeling Rules'!$D$9+(P175='Labeling Rules'!$C$10)*'Labeling Rules'!$D$10+(M175='Labeling Rules'!$C$11)*'Labeling Rules'!$D$11+(T175='Labeling Rules'!$C$12)*'Labeling Rules'!$D$12+(U175='Labeling Rules'!$C$13)*'Labeling Rules'!$D$13+(W175='Labeling Rules'!$C$14)*'Labeling Rules'!$D$14+(Y175='Labeling Rules'!$C$15)*'Labeling Rules'!$D$15</f>
        <v>3</v>
      </c>
      <c r="AI175" s="7" t="n">
        <f aca="false">IF(AH175&gt;='Labeling Rules'!$D$17,1,0)</f>
        <v>0</v>
      </c>
    </row>
    <row r="176" customFormat="false" ht="14.25" hidden="false" customHeight="false" outlineLevel="0" collapsed="false">
      <c r="A176" s="0" t="n">
        <v>175</v>
      </c>
      <c r="B176" s="6" t="n">
        <v>46164.0957523148</v>
      </c>
      <c r="C176" s="6" t="n">
        <v>46164.0983796296</v>
      </c>
      <c r="D176" s="8" t="s">
        <v>35</v>
      </c>
      <c r="E176" s="8"/>
      <c r="F176" s="9" t="s">
        <v>36</v>
      </c>
      <c r="G176" s="9" t="s">
        <v>73</v>
      </c>
      <c r="H176" s="9" t="s">
        <v>38</v>
      </c>
      <c r="I176" s="9" t="s">
        <v>55</v>
      </c>
      <c r="J176" s="9" t="s">
        <v>56</v>
      </c>
      <c r="K176" s="9" t="s">
        <v>97</v>
      </c>
      <c r="L176" s="9" t="s">
        <v>42</v>
      </c>
      <c r="M176" s="9" t="s">
        <v>49</v>
      </c>
      <c r="N176" s="9" t="s">
        <v>74</v>
      </c>
      <c r="O176" s="9" t="s">
        <v>66</v>
      </c>
      <c r="P176" s="9" t="s">
        <v>48</v>
      </c>
      <c r="Q176" s="9" t="s">
        <v>58</v>
      </c>
      <c r="R176" s="9" t="s">
        <v>49</v>
      </c>
      <c r="S176" s="9" t="s">
        <v>47</v>
      </c>
      <c r="T176" s="9" t="s">
        <v>48</v>
      </c>
      <c r="U176" s="9" t="s">
        <v>44</v>
      </c>
      <c r="V176" s="9" t="s">
        <v>74</v>
      </c>
      <c r="W176" s="9" t="s">
        <v>48</v>
      </c>
      <c r="X176" s="9" t="s">
        <v>76</v>
      </c>
      <c r="Y176" s="9" t="s">
        <v>48</v>
      </c>
      <c r="Z176" s="9" t="s">
        <v>50</v>
      </c>
      <c r="AA176" s="9" t="s">
        <v>77</v>
      </c>
      <c r="AB176" s="9" t="s">
        <v>49</v>
      </c>
      <c r="AC176" s="8" t="s">
        <v>235</v>
      </c>
      <c r="AD176" s="9" t="s">
        <v>76</v>
      </c>
      <c r="AE176" s="9" t="s">
        <v>74</v>
      </c>
      <c r="AF176" s="8" t="s">
        <v>62</v>
      </c>
      <c r="AG176" s="8" t="s">
        <v>62</v>
      </c>
      <c r="AH176" s="7" t="n">
        <f aca="false">(O176='Labeling Rules'!$C$6)*'Labeling Rules'!$D$6+(Q176='Labeling Rules'!$C$7)*'Labeling Rules'!$D$7+(R176='Labeling Rules'!$C$8)*'Labeling Rules'!$D$8+(R176='Labeling Rules'!$C$9)*'Labeling Rules'!$D$9+(P176='Labeling Rules'!$C$10)*'Labeling Rules'!$D$10+(M176='Labeling Rules'!$C$11)*'Labeling Rules'!$D$11+(T176='Labeling Rules'!$C$12)*'Labeling Rules'!$D$12+(U176='Labeling Rules'!$C$13)*'Labeling Rules'!$D$13+(W176='Labeling Rules'!$C$14)*'Labeling Rules'!$D$14+(Y176='Labeling Rules'!$C$15)*'Labeling Rules'!$D$15</f>
        <v>2</v>
      </c>
      <c r="AI176" s="7" t="n">
        <f aca="false">IF(AH176&gt;='Labeling Rules'!$D$17,1,0)</f>
        <v>0</v>
      </c>
    </row>
    <row r="177" customFormat="false" ht="14.25" hidden="false" customHeight="false" outlineLevel="0" collapsed="false">
      <c r="A177" s="0" t="n">
        <v>176</v>
      </c>
      <c r="B177" s="6" t="n">
        <v>46164.4441087963</v>
      </c>
      <c r="C177" s="6" t="n">
        <v>46164.4484953704</v>
      </c>
      <c r="D177" s="8" t="s">
        <v>35</v>
      </c>
      <c r="E177" s="8"/>
      <c r="F177" s="9" t="s">
        <v>36</v>
      </c>
      <c r="G177" s="9" t="s">
        <v>37</v>
      </c>
      <c r="H177" s="9" t="s">
        <v>38</v>
      </c>
      <c r="I177" s="9" t="s">
        <v>39</v>
      </c>
      <c r="J177" s="9" t="s">
        <v>56</v>
      </c>
      <c r="K177" s="9" t="s">
        <v>41</v>
      </c>
      <c r="L177" s="9" t="s">
        <v>42</v>
      </c>
      <c r="M177" s="9" t="s">
        <v>43</v>
      </c>
      <c r="N177" s="9" t="s">
        <v>43</v>
      </c>
      <c r="O177" s="9" t="s">
        <v>66</v>
      </c>
      <c r="P177" s="9" t="s">
        <v>42</v>
      </c>
      <c r="Q177" s="9" t="s">
        <v>46</v>
      </c>
      <c r="R177" s="9" t="s">
        <v>48</v>
      </c>
      <c r="S177" s="9" t="s">
        <v>47</v>
      </c>
      <c r="T177" s="9" t="s">
        <v>48</v>
      </c>
      <c r="U177" s="9" t="s">
        <v>44</v>
      </c>
      <c r="V177" s="9" t="s">
        <v>49</v>
      </c>
      <c r="W177" s="9" t="s">
        <v>48</v>
      </c>
      <c r="X177" s="9" t="s">
        <v>76</v>
      </c>
      <c r="Y177" s="9" t="s">
        <v>48</v>
      </c>
      <c r="Z177" s="9" t="s">
        <v>50</v>
      </c>
      <c r="AA177" s="9" t="s">
        <v>67</v>
      </c>
      <c r="AB177" s="9" t="s">
        <v>49</v>
      </c>
      <c r="AC177" s="8" t="s">
        <v>259</v>
      </c>
      <c r="AD177" s="9" t="s">
        <v>76</v>
      </c>
      <c r="AE177" s="9" t="s">
        <v>49</v>
      </c>
      <c r="AF177" s="9" t="s">
        <v>316</v>
      </c>
      <c r="AG177" s="9" t="s">
        <v>109</v>
      </c>
      <c r="AH177" s="7" t="n">
        <f aca="false">(O177='Labeling Rules'!$C$6)*'Labeling Rules'!$D$6+(Q177='Labeling Rules'!$C$7)*'Labeling Rules'!$D$7+(R177='Labeling Rules'!$C$8)*'Labeling Rules'!$D$8+(R177='Labeling Rules'!$C$9)*'Labeling Rules'!$D$9+(P177='Labeling Rules'!$C$10)*'Labeling Rules'!$D$10+(M177='Labeling Rules'!$C$11)*'Labeling Rules'!$D$11+(T177='Labeling Rules'!$C$12)*'Labeling Rules'!$D$12+(U177='Labeling Rules'!$C$13)*'Labeling Rules'!$D$13+(W177='Labeling Rules'!$C$14)*'Labeling Rules'!$D$14+(Y177='Labeling Rules'!$C$15)*'Labeling Rules'!$D$15</f>
        <v>0</v>
      </c>
      <c r="AI177" s="7" t="n">
        <f aca="false">IF(AH177&gt;='Labeling Rules'!$D$17,1,0)</f>
        <v>0</v>
      </c>
    </row>
    <row r="178" customFormat="false" ht="14.25" hidden="false" customHeight="false" outlineLevel="0" collapsed="false">
      <c r="A178" s="0" t="n">
        <v>177</v>
      </c>
      <c r="B178" s="6" t="n">
        <v>46164.533587963</v>
      </c>
      <c r="C178" s="6" t="n">
        <v>46164.5351967593</v>
      </c>
      <c r="D178" s="8" t="s">
        <v>35</v>
      </c>
      <c r="E178" s="8"/>
      <c r="F178" s="9" t="s">
        <v>63</v>
      </c>
      <c r="G178" s="9" t="s">
        <v>37</v>
      </c>
      <c r="H178" s="9" t="s">
        <v>38</v>
      </c>
      <c r="I178" s="9" t="s">
        <v>39</v>
      </c>
      <c r="J178" s="9" t="s">
        <v>56</v>
      </c>
      <c r="K178" s="9" t="s">
        <v>41</v>
      </c>
      <c r="L178" s="9" t="s">
        <v>42</v>
      </c>
      <c r="M178" s="9" t="s">
        <v>43</v>
      </c>
      <c r="N178" s="9" t="s">
        <v>43</v>
      </c>
      <c r="O178" s="9" t="s">
        <v>57</v>
      </c>
      <c r="P178" s="9" t="s">
        <v>76</v>
      </c>
      <c r="Q178" s="9" t="s">
        <v>46</v>
      </c>
      <c r="R178" s="9" t="s">
        <v>49</v>
      </c>
      <c r="S178" s="9" t="s">
        <v>48</v>
      </c>
      <c r="T178" s="9" t="s">
        <v>42</v>
      </c>
      <c r="U178" s="9" t="s">
        <v>49</v>
      </c>
      <c r="V178" s="9" t="s">
        <v>49</v>
      </c>
      <c r="W178" s="9" t="s">
        <v>48</v>
      </c>
      <c r="X178" s="9" t="s">
        <v>59</v>
      </c>
      <c r="Y178" s="9" t="s">
        <v>48</v>
      </c>
      <c r="Z178" s="9" t="s">
        <v>50</v>
      </c>
      <c r="AA178" s="9" t="s">
        <v>60</v>
      </c>
      <c r="AB178" s="9" t="s">
        <v>42</v>
      </c>
      <c r="AC178" s="8" t="s">
        <v>228</v>
      </c>
      <c r="AD178" s="9" t="s">
        <v>48</v>
      </c>
      <c r="AE178" s="9" t="s">
        <v>49</v>
      </c>
      <c r="AF178" s="8" t="s">
        <v>98</v>
      </c>
      <c r="AG178" s="8" t="s">
        <v>98</v>
      </c>
      <c r="AH178" s="7" t="n">
        <f aca="false">(O178='Labeling Rules'!$C$6)*'Labeling Rules'!$D$6+(Q178='Labeling Rules'!$C$7)*'Labeling Rules'!$D$7+(R178='Labeling Rules'!$C$8)*'Labeling Rules'!$D$8+(R178='Labeling Rules'!$C$9)*'Labeling Rules'!$D$9+(P178='Labeling Rules'!$C$10)*'Labeling Rules'!$D$10+(M178='Labeling Rules'!$C$11)*'Labeling Rules'!$D$11+(T178='Labeling Rules'!$C$12)*'Labeling Rules'!$D$12+(U178='Labeling Rules'!$C$13)*'Labeling Rules'!$D$13+(W178='Labeling Rules'!$C$14)*'Labeling Rules'!$D$14+(Y178='Labeling Rules'!$C$15)*'Labeling Rules'!$D$15</f>
        <v>2</v>
      </c>
      <c r="AI178" s="7" t="n">
        <f aca="false">IF(AH178&gt;='Labeling Rules'!$D$17,1,0)</f>
        <v>0</v>
      </c>
    </row>
    <row r="179" customFormat="false" ht="14.25" hidden="false" customHeight="false" outlineLevel="0" collapsed="false">
      <c r="A179" s="0" t="n">
        <v>178</v>
      </c>
      <c r="B179" s="6" t="n">
        <v>46164.9535532407</v>
      </c>
      <c r="C179" s="6" t="n">
        <v>46164.9556134259</v>
      </c>
      <c r="D179" s="8" t="s">
        <v>35</v>
      </c>
      <c r="E179" s="8"/>
      <c r="F179" s="9" t="s">
        <v>36</v>
      </c>
      <c r="G179" s="9" t="s">
        <v>37</v>
      </c>
      <c r="H179" s="9" t="s">
        <v>38</v>
      </c>
      <c r="I179" s="9" t="s">
        <v>80</v>
      </c>
      <c r="J179" s="9" t="s">
        <v>56</v>
      </c>
      <c r="K179" s="9" t="s">
        <v>41</v>
      </c>
      <c r="L179" s="9" t="s">
        <v>42</v>
      </c>
      <c r="M179" s="9" t="s">
        <v>43</v>
      </c>
      <c r="N179" s="9" t="s">
        <v>43</v>
      </c>
      <c r="O179" s="9" t="s">
        <v>66</v>
      </c>
      <c r="P179" s="9" t="s">
        <v>42</v>
      </c>
      <c r="Q179" s="9" t="s">
        <v>58</v>
      </c>
      <c r="R179" s="9" t="s">
        <v>49</v>
      </c>
      <c r="S179" s="9" t="s">
        <v>47</v>
      </c>
      <c r="T179" s="9" t="s">
        <v>48</v>
      </c>
      <c r="U179" s="9" t="s">
        <v>44</v>
      </c>
      <c r="V179" s="9" t="s">
        <v>49</v>
      </c>
      <c r="W179" s="9" t="s">
        <v>48</v>
      </c>
      <c r="X179" s="9" t="s">
        <v>59</v>
      </c>
      <c r="Y179" s="9" t="s">
        <v>48</v>
      </c>
      <c r="Z179" s="9" t="s">
        <v>50</v>
      </c>
      <c r="AA179" s="9" t="s">
        <v>67</v>
      </c>
      <c r="AB179" s="9" t="s">
        <v>42</v>
      </c>
      <c r="AC179" s="8" t="s">
        <v>286</v>
      </c>
      <c r="AD179" s="9" t="s">
        <v>42</v>
      </c>
      <c r="AE179" s="9" t="s">
        <v>44</v>
      </c>
      <c r="AF179" s="9" t="s">
        <v>317</v>
      </c>
      <c r="AG179" s="9" t="s">
        <v>42</v>
      </c>
      <c r="AH179" s="7" t="n">
        <f aca="false">(O179='Labeling Rules'!$C$6)*'Labeling Rules'!$D$6+(Q179='Labeling Rules'!$C$7)*'Labeling Rules'!$D$7+(R179='Labeling Rules'!$C$8)*'Labeling Rules'!$D$8+(R179='Labeling Rules'!$C$9)*'Labeling Rules'!$D$9+(P179='Labeling Rules'!$C$10)*'Labeling Rules'!$D$10+(M179='Labeling Rules'!$C$11)*'Labeling Rules'!$D$11+(T179='Labeling Rules'!$C$12)*'Labeling Rules'!$D$12+(U179='Labeling Rules'!$C$13)*'Labeling Rules'!$D$13+(W179='Labeling Rules'!$C$14)*'Labeling Rules'!$D$14+(Y179='Labeling Rules'!$C$15)*'Labeling Rules'!$D$15</f>
        <v>1</v>
      </c>
      <c r="AI179" s="7" t="n">
        <f aca="false">IF(AH179&gt;='Labeling Rules'!$D$17,1,0)</f>
        <v>0</v>
      </c>
    </row>
    <row r="180" customFormat="false" ht="14.25" hidden="false" customHeight="false" outlineLevel="0" collapsed="false">
      <c r="A180" s="0" t="n">
        <v>179</v>
      </c>
      <c r="B180" s="6" t="n">
        <v>46165.0509375</v>
      </c>
      <c r="C180" s="6" t="n">
        <v>46165.052025463</v>
      </c>
      <c r="D180" s="8" t="s">
        <v>35</v>
      </c>
      <c r="E180" s="8"/>
      <c r="F180" s="9" t="s">
        <v>63</v>
      </c>
      <c r="G180" s="9" t="s">
        <v>69</v>
      </c>
      <c r="H180" s="9" t="s">
        <v>38</v>
      </c>
      <c r="I180" s="9" t="s">
        <v>55</v>
      </c>
      <c r="J180" s="9" t="s">
        <v>56</v>
      </c>
      <c r="K180" s="9" t="s">
        <v>41</v>
      </c>
      <c r="L180" s="9" t="s">
        <v>42</v>
      </c>
      <c r="M180" s="9" t="s">
        <v>44</v>
      </c>
      <c r="N180" s="9" t="s">
        <v>49</v>
      </c>
      <c r="O180" s="9" t="s">
        <v>57</v>
      </c>
      <c r="P180" s="9" t="s">
        <v>76</v>
      </c>
      <c r="Q180" s="9" t="s">
        <v>46</v>
      </c>
      <c r="R180" s="9" t="s">
        <v>49</v>
      </c>
      <c r="S180" s="9" t="s">
        <v>42</v>
      </c>
      <c r="T180" s="9" t="s">
        <v>48</v>
      </c>
      <c r="U180" s="9" t="s">
        <v>49</v>
      </c>
      <c r="V180" s="9" t="s">
        <v>49</v>
      </c>
      <c r="W180" s="9" t="s">
        <v>42</v>
      </c>
      <c r="X180" s="9" t="s">
        <v>48</v>
      </c>
      <c r="Y180" s="9" t="s">
        <v>48</v>
      </c>
      <c r="Z180" s="9" t="s">
        <v>83</v>
      </c>
      <c r="AA180" s="9" t="s">
        <v>67</v>
      </c>
      <c r="AB180" s="9" t="s">
        <v>49</v>
      </c>
      <c r="AC180" s="8" t="s">
        <v>235</v>
      </c>
      <c r="AD180" s="9" t="s">
        <v>42</v>
      </c>
      <c r="AE180" s="9" t="s">
        <v>74</v>
      </c>
      <c r="AF180" s="8" t="s">
        <v>62</v>
      </c>
      <c r="AG180" s="8" t="s">
        <v>62</v>
      </c>
      <c r="AH180" s="7" t="n">
        <f aca="false">(O180='Labeling Rules'!$C$6)*'Labeling Rules'!$D$6+(Q180='Labeling Rules'!$C$7)*'Labeling Rules'!$D$7+(R180='Labeling Rules'!$C$8)*'Labeling Rules'!$D$8+(R180='Labeling Rules'!$C$9)*'Labeling Rules'!$D$9+(P180='Labeling Rules'!$C$10)*'Labeling Rules'!$D$10+(M180='Labeling Rules'!$C$11)*'Labeling Rules'!$D$11+(T180='Labeling Rules'!$C$12)*'Labeling Rules'!$D$12+(U180='Labeling Rules'!$C$13)*'Labeling Rules'!$D$13+(W180='Labeling Rules'!$C$14)*'Labeling Rules'!$D$14+(Y180='Labeling Rules'!$C$15)*'Labeling Rules'!$D$15</f>
        <v>3</v>
      </c>
      <c r="AI180" s="7" t="n">
        <f aca="false">IF(AH180&gt;='Labeling Rules'!$D$17,1,0)</f>
        <v>0</v>
      </c>
    </row>
    <row r="181" customFormat="false" ht="14.25" hidden="false" customHeight="false" outlineLevel="0" collapsed="false">
      <c r="A181" s="0" t="n">
        <v>180</v>
      </c>
      <c r="B181" s="6" t="n">
        <v>46165.775474537</v>
      </c>
      <c r="C181" s="6" t="n">
        <v>46165.7775925926</v>
      </c>
      <c r="D181" s="8" t="s">
        <v>35</v>
      </c>
      <c r="E181" s="8"/>
      <c r="F181" s="9" t="s">
        <v>36</v>
      </c>
      <c r="G181" s="9" t="s">
        <v>69</v>
      </c>
      <c r="H181" s="9" t="s">
        <v>38</v>
      </c>
      <c r="I181" s="9" t="s">
        <v>64</v>
      </c>
      <c r="J181" s="9" t="s">
        <v>56</v>
      </c>
      <c r="K181" s="9" t="s">
        <v>97</v>
      </c>
      <c r="L181" s="9" t="s">
        <v>42</v>
      </c>
      <c r="M181" s="9" t="s">
        <v>43</v>
      </c>
      <c r="N181" s="9" t="s">
        <v>44</v>
      </c>
      <c r="O181" s="9" t="s">
        <v>66</v>
      </c>
      <c r="P181" s="9" t="s">
        <v>76</v>
      </c>
      <c r="Q181" s="9" t="s">
        <v>58</v>
      </c>
      <c r="R181" s="9" t="s">
        <v>48</v>
      </c>
      <c r="S181" s="9" t="s">
        <v>47</v>
      </c>
      <c r="T181" s="9" t="s">
        <v>48</v>
      </c>
      <c r="U181" s="9" t="s">
        <v>44</v>
      </c>
      <c r="V181" s="9" t="s">
        <v>49</v>
      </c>
      <c r="W181" s="9" t="s">
        <v>48</v>
      </c>
      <c r="X181" s="9" t="s">
        <v>59</v>
      </c>
      <c r="Y181" s="9" t="s">
        <v>42</v>
      </c>
      <c r="Z181" s="9" t="s">
        <v>48</v>
      </c>
      <c r="AA181" s="9" t="s">
        <v>67</v>
      </c>
      <c r="AB181" s="9" t="s">
        <v>49</v>
      </c>
      <c r="AC181" s="8" t="s">
        <v>221</v>
      </c>
      <c r="AD181" s="9" t="s">
        <v>42</v>
      </c>
      <c r="AE181" s="9" t="s">
        <v>49</v>
      </c>
      <c r="AF181" s="8" t="s">
        <v>62</v>
      </c>
      <c r="AG181" s="8" t="s">
        <v>62</v>
      </c>
      <c r="AH181" s="7" t="n">
        <f aca="false">(O181='Labeling Rules'!$C$6)*'Labeling Rules'!$D$6+(Q181='Labeling Rules'!$C$7)*'Labeling Rules'!$D$7+(R181='Labeling Rules'!$C$8)*'Labeling Rules'!$D$8+(R181='Labeling Rules'!$C$9)*'Labeling Rules'!$D$9+(P181='Labeling Rules'!$C$10)*'Labeling Rules'!$D$10+(M181='Labeling Rules'!$C$11)*'Labeling Rules'!$D$11+(T181='Labeling Rules'!$C$12)*'Labeling Rules'!$D$12+(U181='Labeling Rules'!$C$13)*'Labeling Rules'!$D$13+(W181='Labeling Rules'!$C$14)*'Labeling Rules'!$D$14+(Y181='Labeling Rules'!$C$15)*'Labeling Rules'!$D$15</f>
        <v>1</v>
      </c>
      <c r="AI181" s="7" t="n">
        <f aca="false">IF(AH181&gt;='Labeling Rules'!$D$17,1,0)</f>
        <v>0</v>
      </c>
    </row>
    <row r="182" customFormat="false" ht="14.25" hidden="false" customHeight="false" outlineLevel="0" collapsed="false">
      <c r="A182" s="0" t="n">
        <v>181</v>
      </c>
      <c r="B182" s="6" t="n">
        <v>46166.1072569444</v>
      </c>
      <c r="C182" s="6" t="n">
        <v>46166.1109953704</v>
      </c>
      <c r="D182" s="8" t="s">
        <v>35</v>
      </c>
      <c r="E182" s="8"/>
      <c r="F182" s="9" t="s">
        <v>36</v>
      </c>
      <c r="G182" s="9" t="s">
        <v>37</v>
      </c>
      <c r="H182" s="9" t="s">
        <v>38</v>
      </c>
      <c r="I182" s="9" t="s">
        <v>64</v>
      </c>
      <c r="J182" s="9" t="s">
        <v>56</v>
      </c>
      <c r="K182" s="9" t="s">
        <v>41</v>
      </c>
      <c r="L182" s="9" t="s">
        <v>42</v>
      </c>
      <c r="M182" s="9" t="s">
        <v>43</v>
      </c>
      <c r="N182" s="9" t="s">
        <v>43</v>
      </c>
      <c r="O182" s="9" t="s">
        <v>66</v>
      </c>
      <c r="P182" s="9" t="s">
        <v>76</v>
      </c>
      <c r="Q182" s="9" t="s">
        <v>58</v>
      </c>
      <c r="R182" s="9" t="s">
        <v>49</v>
      </c>
      <c r="S182" s="9" t="s">
        <v>47</v>
      </c>
      <c r="T182" s="9" t="s">
        <v>48</v>
      </c>
      <c r="U182" s="9" t="s">
        <v>44</v>
      </c>
      <c r="V182" s="9" t="s">
        <v>49</v>
      </c>
      <c r="W182" s="9" t="s">
        <v>48</v>
      </c>
      <c r="X182" s="9" t="s">
        <v>59</v>
      </c>
      <c r="Y182" s="9" t="s">
        <v>48</v>
      </c>
      <c r="Z182" s="9" t="s">
        <v>50</v>
      </c>
      <c r="AA182" s="9" t="s">
        <v>51</v>
      </c>
      <c r="AB182" s="9" t="s">
        <v>49</v>
      </c>
      <c r="AC182" s="8" t="s">
        <v>245</v>
      </c>
      <c r="AD182" s="9" t="s">
        <v>42</v>
      </c>
      <c r="AE182" s="9" t="s">
        <v>44</v>
      </c>
      <c r="AF182" s="9" t="s">
        <v>318</v>
      </c>
      <c r="AG182" s="9" t="s">
        <v>48</v>
      </c>
      <c r="AH182" s="7" t="n">
        <f aca="false">(O182='Labeling Rules'!$C$6)*'Labeling Rules'!$D$6+(Q182='Labeling Rules'!$C$7)*'Labeling Rules'!$D$7+(R182='Labeling Rules'!$C$8)*'Labeling Rules'!$D$8+(R182='Labeling Rules'!$C$9)*'Labeling Rules'!$D$9+(P182='Labeling Rules'!$C$10)*'Labeling Rules'!$D$10+(M182='Labeling Rules'!$C$11)*'Labeling Rules'!$D$11+(T182='Labeling Rules'!$C$12)*'Labeling Rules'!$D$12+(U182='Labeling Rules'!$C$13)*'Labeling Rules'!$D$13+(W182='Labeling Rules'!$C$14)*'Labeling Rules'!$D$14+(Y182='Labeling Rules'!$C$15)*'Labeling Rules'!$D$15</f>
        <v>1</v>
      </c>
      <c r="AI182" s="7" t="n">
        <f aca="false">IF(AH182&gt;='Labeling Rules'!$D$17,1,0)</f>
        <v>0</v>
      </c>
    </row>
    <row r="183" customFormat="false" ht="14.25" hidden="false" customHeight="false" outlineLevel="0" collapsed="false">
      <c r="A183" s="0" t="n">
        <v>182</v>
      </c>
      <c r="B183" s="6" t="n">
        <v>46166.4905439815</v>
      </c>
      <c r="C183" s="6" t="n">
        <v>46166.4965393519</v>
      </c>
      <c r="D183" s="8" t="s">
        <v>35</v>
      </c>
      <c r="E183" s="8"/>
      <c r="F183" s="9" t="s">
        <v>36</v>
      </c>
      <c r="G183" s="9" t="s">
        <v>69</v>
      </c>
      <c r="H183" s="9" t="s">
        <v>181</v>
      </c>
      <c r="I183" s="9" t="s">
        <v>155</v>
      </c>
      <c r="J183" s="9" t="s">
        <v>150</v>
      </c>
      <c r="K183" s="9" t="s">
        <v>41</v>
      </c>
      <c r="L183" s="9" t="s">
        <v>42</v>
      </c>
      <c r="M183" s="9" t="s">
        <v>74</v>
      </c>
      <c r="N183" s="9" t="s">
        <v>43</v>
      </c>
      <c r="O183" s="9" t="s">
        <v>66</v>
      </c>
      <c r="P183" s="9" t="s">
        <v>76</v>
      </c>
      <c r="Q183" s="9" t="s">
        <v>58</v>
      </c>
      <c r="R183" s="9" t="s">
        <v>49</v>
      </c>
      <c r="S183" s="9" t="s">
        <v>47</v>
      </c>
      <c r="T183" s="9" t="s">
        <v>48</v>
      </c>
      <c r="U183" s="9" t="s">
        <v>44</v>
      </c>
      <c r="V183" s="9" t="s">
        <v>74</v>
      </c>
      <c r="W183" s="9" t="s">
        <v>48</v>
      </c>
      <c r="X183" s="9" t="s">
        <v>76</v>
      </c>
      <c r="Y183" s="9" t="s">
        <v>42</v>
      </c>
      <c r="Z183" s="9" t="s">
        <v>83</v>
      </c>
      <c r="AA183" s="9" t="s">
        <v>77</v>
      </c>
      <c r="AB183" s="9" t="s">
        <v>42</v>
      </c>
      <c r="AC183" s="8" t="s">
        <v>268</v>
      </c>
      <c r="AD183" s="9" t="s">
        <v>42</v>
      </c>
      <c r="AE183" s="9" t="s">
        <v>49</v>
      </c>
      <c r="AF183" s="9" t="s">
        <v>319</v>
      </c>
      <c r="AG183" s="9" t="s">
        <v>109</v>
      </c>
      <c r="AH183" s="7" t="n">
        <f aca="false">(O183='Labeling Rules'!$C$6)*'Labeling Rules'!$D$6+(Q183='Labeling Rules'!$C$7)*'Labeling Rules'!$D$7+(R183='Labeling Rules'!$C$8)*'Labeling Rules'!$D$8+(R183='Labeling Rules'!$C$9)*'Labeling Rules'!$D$9+(P183='Labeling Rules'!$C$10)*'Labeling Rules'!$D$10+(M183='Labeling Rules'!$C$11)*'Labeling Rules'!$D$11+(T183='Labeling Rules'!$C$12)*'Labeling Rules'!$D$12+(U183='Labeling Rules'!$C$13)*'Labeling Rules'!$D$13+(W183='Labeling Rules'!$C$14)*'Labeling Rules'!$D$14+(Y183='Labeling Rules'!$C$15)*'Labeling Rules'!$D$15</f>
        <v>2</v>
      </c>
      <c r="AI183" s="7" t="n">
        <f aca="false">IF(AH183&gt;='Labeling Rules'!$D$17,1,0)</f>
        <v>0</v>
      </c>
    </row>
    <row r="184" customFormat="false" ht="14.25" hidden="false" customHeight="false" outlineLevel="0" collapsed="false">
      <c r="A184" s="0" t="n">
        <v>183</v>
      </c>
      <c r="B184" s="6" t="n">
        <v>46169.025150463</v>
      </c>
      <c r="C184" s="6" t="n">
        <v>46169.0278009259</v>
      </c>
      <c r="D184" s="8" t="s">
        <v>35</v>
      </c>
      <c r="E184" s="8"/>
      <c r="F184" s="9" t="s">
        <v>36</v>
      </c>
      <c r="G184" s="9" t="s">
        <v>37</v>
      </c>
      <c r="H184" s="9" t="s">
        <v>38</v>
      </c>
      <c r="I184" s="9" t="s">
        <v>64</v>
      </c>
      <c r="J184" s="9" t="s">
        <v>56</v>
      </c>
      <c r="K184" s="9" t="s">
        <v>41</v>
      </c>
      <c r="L184" s="9" t="s">
        <v>42</v>
      </c>
      <c r="M184" s="9" t="s">
        <v>44</v>
      </c>
      <c r="N184" s="9" t="s">
        <v>43</v>
      </c>
      <c r="O184" s="9" t="s">
        <v>45</v>
      </c>
      <c r="P184" s="9" t="s">
        <v>42</v>
      </c>
      <c r="Q184" s="9" t="s">
        <v>58</v>
      </c>
      <c r="R184" s="9" t="s">
        <v>42</v>
      </c>
      <c r="S184" s="9" t="s">
        <v>47</v>
      </c>
      <c r="T184" s="9" t="s">
        <v>48</v>
      </c>
      <c r="U184" s="9" t="s">
        <v>49</v>
      </c>
      <c r="V184" s="9" t="s">
        <v>49</v>
      </c>
      <c r="W184" s="9" t="s">
        <v>48</v>
      </c>
      <c r="X184" s="9" t="s">
        <v>76</v>
      </c>
      <c r="Y184" s="9" t="s">
        <v>48</v>
      </c>
      <c r="Z184" s="9" t="s">
        <v>50</v>
      </c>
      <c r="AA184" s="9" t="s">
        <v>77</v>
      </c>
      <c r="AB184" s="9" t="s">
        <v>49</v>
      </c>
      <c r="AC184" s="8" t="s">
        <v>238</v>
      </c>
      <c r="AD184" s="9" t="s">
        <v>48</v>
      </c>
      <c r="AE184" s="9" t="s">
        <v>44</v>
      </c>
      <c r="AF184" s="9" t="s">
        <v>242</v>
      </c>
      <c r="AG184" s="8" t="s">
        <v>320</v>
      </c>
      <c r="AH184" s="7" t="n">
        <f aca="false">(O184='Labeling Rules'!$C$6)*'Labeling Rules'!$D$6+(Q184='Labeling Rules'!$C$7)*'Labeling Rules'!$D$7+(R184='Labeling Rules'!$C$8)*'Labeling Rules'!$D$8+(R184='Labeling Rules'!$C$9)*'Labeling Rules'!$D$9+(P184='Labeling Rules'!$C$10)*'Labeling Rules'!$D$10+(M184='Labeling Rules'!$C$11)*'Labeling Rules'!$D$11+(T184='Labeling Rules'!$C$12)*'Labeling Rules'!$D$12+(U184='Labeling Rules'!$C$13)*'Labeling Rules'!$D$13+(W184='Labeling Rules'!$C$14)*'Labeling Rules'!$D$14+(Y184='Labeling Rules'!$C$15)*'Labeling Rules'!$D$15</f>
        <v>5</v>
      </c>
      <c r="AI184" s="7" t="n">
        <f aca="false">IF(AH184&gt;='Labeling Rules'!$D$17,1,0)</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3" style="0" width="20"/>
  </cols>
  <sheetData>
    <row r="1" customFormat="false" ht="15" hidden="false" customHeight="false" outlineLevel="0" collapsed="false">
      <c r="A1" s="12" t="s">
        <v>321</v>
      </c>
      <c r="B1" s="12"/>
      <c r="C1" s="12"/>
      <c r="D1" s="12"/>
    </row>
    <row r="2" customFormat="false" ht="15" hidden="false" customHeight="false" outlineLevel="0" collapsed="false">
      <c r="A2" s="13" t="s">
        <v>322</v>
      </c>
      <c r="B2" s="13"/>
      <c r="C2" s="13"/>
      <c r="D2" s="13"/>
    </row>
    <row r="3" customFormat="false" ht="15" hidden="false" customHeight="false" outlineLevel="0" collapsed="false">
      <c r="A3" s="13" t="s">
        <v>323</v>
      </c>
      <c r="B3" s="13"/>
      <c r="C3" s="13"/>
      <c r="D3" s="13"/>
    </row>
    <row r="4" customFormat="false" ht="15" hidden="false" customHeight="false" outlineLevel="0" collapsed="false">
      <c r="A4" s="14"/>
      <c r="B4" s="14"/>
      <c r="C4" s="14"/>
      <c r="D4" s="14"/>
    </row>
    <row r="5" customFormat="false" ht="15" hidden="false" customHeight="false" outlineLevel="0" collapsed="false">
      <c r="A5" s="15" t="s">
        <v>324</v>
      </c>
      <c r="B5" s="15" t="s">
        <v>325</v>
      </c>
      <c r="C5" s="15" t="s">
        <v>326</v>
      </c>
      <c r="D5" s="15" t="s">
        <v>327</v>
      </c>
    </row>
    <row r="6" customFormat="false" ht="15" hidden="false" customHeight="false" outlineLevel="0" collapsed="false">
      <c r="A6" s="14" t="s">
        <v>328</v>
      </c>
      <c r="B6" s="14" t="s">
        <v>329</v>
      </c>
      <c r="C6" s="14" t="s">
        <v>45</v>
      </c>
      <c r="D6" s="14" t="n">
        <v>2</v>
      </c>
    </row>
    <row r="7" customFormat="false" ht="15" hidden="false" customHeight="false" outlineLevel="0" collapsed="false">
      <c r="A7" s="14" t="s">
        <v>330</v>
      </c>
      <c r="B7" s="14" t="s">
        <v>331</v>
      </c>
      <c r="C7" s="14" t="s">
        <v>81</v>
      </c>
      <c r="D7" s="14" t="n">
        <v>2</v>
      </c>
    </row>
    <row r="8" customFormat="false" ht="15" hidden="false" customHeight="false" outlineLevel="0" collapsed="false">
      <c r="A8" s="14" t="s">
        <v>332</v>
      </c>
      <c r="B8" s="14" t="s">
        <v>333</v>
      </c>
      <c r="C8" s="14" t="s">
        <v>42</v>
      </c>
      <c r="D8" s="14" t="n">
        <v>2</v>
      </c>
    </row>
    <row r="9" customFormat="false" ht="15" hidden="false" customHeight="false" outlineLevel="0" collapsed="false">
      <c r="A9" s="14" t="s">
        <v>332</v>
      </c>
      <c r="B9" s="14" t="s">
        <v>333</v>
      </c>
      <c r="C9" s="14" t="s">
        <v>49</v>
      </c>
      <c r="D9" s="14" t="n">
        <v>1</v>
      </c>
    </row>
    <row r="10" customFormat="false" ht="15" hidden="false" customHeight="false" outlineLevel="0" collapsed="false">
      <c r="A10" s="14" t="s">
        <v>334</v>
      </c>
      <c r="B10" s="14" t="s">
        <v>335</v>
      </c>
      <c r="C10" s="14" t="s">
        <v>48</v>
      </c>
      <c r="D10" s="14" t="n">
        <v>1</v>
      </c>
    </row>
    <row r="11" customFormat="false" ht="15" hidden="false" customHeight="false" outlineLevel="0" collapsed="false">
      <c r="A11" s="14" t="s">
        <v>336</v>
      </c>
      <c r="B11" s="14" t="s">
        <v>337</v>
      </c>
      <c r="C11" s="14" t="s">
        <v>44</v>
      </c>
      <c r="D11" s="14" t="n">
        <v>1</v>
      </c>
    </row>
    <row r="12" customFormat="false" ht="15" hidden="false" customHeight="false" outlineLevel="0" collapsed="false">
      <c r="A12" s="14" t="s">
        <v>338</v>
      </c>
      <c r="B12" s="14" t="s">
        <v>339</v>
      </c>
      <c r="C12" s="14" t="s">
        <v>42</v>
      </c>
      <c r="D12" s="14" t="n">
        <v>1</v>
      </c>
    </row>
    <row r="13" customFormat="false" ht="15" hidden="false" customHeight="false" outlineLevel="0" collapsed="false">
      <c r="A13" s="14" t="s">
        <v>340</v>
      </c>
      <c r="B13" s="14" t="s">
        <v>341</v>
      </c>
      <c r="C13" s="14" t="s">
        <v>48</v>
      </c>
      <c r="D13" s="14" t="n">
        <v>1</v>
      </c>
    </row>
    <row r="14" customFormat="false" ht="15" hidden="false" customHeight="false" outlineLevel="0" collapsed="false">
      <c r="A14" s="14" t="s">
        <v>342</v>
      </c>
      <c r="B14" s="14" t="s">
        <v>343</v>
      </c>
      <c r="C14" s="14" t="s">
        <v>42</v>
      </c>
      <c r="D14" s="14" t="n">
        <v>1</v>
      </c>
    </row>
    <row r="15" customFormat="false" ht="15" hidden="false" customHeight="false" outlineLevel="0" collapsed="false">
      <c r="A15" s="14" t="s">
        <v>344</v>
      </c>
      <c r="B15" s="14" t="s">
        <v>345</v>
      </c>
      <c r="C15" s="14" t="s">
        <v>42</v>
      </c>
      <c r="D15" s="14" t="n">
        <v>1</v>
      </c>
    </row>
    <row r="16" customFormat="false" ht="15" hidden="false" customHeight="false" outlineLevel="0" collapsed="false">
      <c r="A16" s="14"/>
      <c r="B16" s="14"/>
      <c r="C16" s="14"/>
      <c r="D16" s="14"/>
    </row>
    <row r="17" customFormat="false" ht="15" hidden="false" customHeight="false" outlineLevel="0" collapsed="false">
      <c r="A17" s="14" t="s">
        <v>346</v>
      </c>
      <c r="B17" s="14"/>
      <c r="C17" s="14"/>
      <c r="D17" s="16" t="n">
        <v>5</v>
      </c>
    </row>
    <row r="18" customFormat="false" ht="15" hidden="false" customHeight="false" outlineLevel="0" collapsed="false">
      <c r="A18" s="14" t="s">
        <v>347</v>
      </c>
      <c r="B18" s="14"/>
      <c r="C18" s="14"/>
      <c r="D18" s="14" t="n">
        <v>11</v>
      </c>
    </row>
    <row r="20" customFormat="false" ht="15" hidden="false" customHeight="false" outlineLevel="0" collapsed="false">
      <c r="A20" s="14" t="s">
        <v>348</v>
      </c>
      <c r="D20" s="14" t="n">
        <f aca="false">COUNTIF(Sheet1!AI2:AI184,1)</f>
        <v>50</v>
      </c>
    </row>
    <row r="21" customFormat="false" ht="15" hidden="false" customHeight="false" outlineLevel="0" collapsed="false">
      <c r="A21" s="14" t="s">
        <v>349</v>
      </c>
      <c r="D21" s="14" t="n">
        <f aca="false">COUNTIF(Sheet1!AI2:AI184,0)</f>
        <v>133</v>
      </c>
    </row>
    <row r="22" customFormat="false" ht="15" hidden="false" customHeight="false" outlineLevel="0" collapsed="false">
      <c r="A22" s="14" t="s">
        <v>350</v>
      </c>
      <c r="D22" s="17" t="n">
        <f aca="false">D20/(D20+D21)</f>
        <v>0.273224043715847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2026-05-26T21:41:05Z</dcterms:created>
  <dc:creator>used</dc:creator>
  <dc:description/>
  <dc:language>en-US</dc:language>
  <cp:lastModifiedBy>RAGHAD MAZIN ABDUL KAREEM FOUDEH</cp:lastModifiedBy>
  <dcterms:modified xsi:type="dcterms:W3CDTF">2026-10-27T07:24:41Z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